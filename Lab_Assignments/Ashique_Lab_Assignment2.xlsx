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Lab Assignments\"/>
    </mc:Choice>
  </mc:AlternateContent>
  <xr:revisionPtr revIDLastSave="0" documentId="13_ncr:1_{734E9D18-8347-4D89-A8D3-55D064B73579}" xr6:coauthVersionLast="47" xr6:coauthVersionMax="47" xr10:uidLastSave="{00000000-0000-0000-0000-000000000000}"/>
  <bookViews>
    <workbookView xWindow="-120" yWindow="-120" windowWidth="29040" windowHeight="16440" xr2:uid="{0740C1AF-76D2-49F6-B847-BEF8737885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5" i="1" l="1"/>
  <c r="N86" i="1"/>
  <c r="N87" i="1"/>
  <c r="N88" i="1"/>
  <c r="N89" i="1"/>
  <c r="N84" i="1"/>
  <c r="F14" i="1"/>
  <c r="F15" i="1"/>
  <c r="F16" i="1"/>
  <c r="F17" i="1"/>
  <c r="F18" i="1"/>
  <c r="F19" i="1"/>
  <c r="M84" i="1"/>
  <c r="M85" i="1"/>
  <c r="M86" i="1"/>
  <c r="M87" i="1"/>
  <c r="M88" i="1"/>
  <c r="M89" i="1"/>
  <c r="L89" i="1"/>
  <c r="K89" i="1"/>
  <c r="I89" i="1"/>
  <c r="J89" i="1" s="1"/>
  <c r="H89" i="1"/>
  <c r="G89" i="1"/>
  <c r="F89" i="1"/>
  <c r="L88" i="1"/>
  <c r="K88" i="1"/>
  <c r="I88" i="1"/>
  <c r="J88" i="1" s="1"/>
  <c r="H88" i="1"/>
  <c r="G88" i="1"/>
  <c r="F88" i="1"/>
  <c r="L87" i="1"/>
  <c r="K87" i="1"/>
  <c r="J87" i="1"/>
  <c r="I87" i="1"/>
  <c r="H87" i="1"/>
  <c r="G87" i="1"/>
  <c r="F87" i="1"/>
  <c r="L86" i="1"/>
  <c r="K86" i="1"/>
  <c r="I86" i="1"/>
  <c r="J86" i="1" s="1"/>
  <c r="H86" i="1"/>
  <c r="G86" i="1"/>
  <c r="F86" i="1"/>
  <c r="L85" i="1"/>
  <c r="K85" i="1"/>
  <c r="J85" i="1"/>
  <c r="I85" i="1"/>
  <c r="H85" i="1"/>
  <c r="G85" i="1"/>
  <c r="F85" i="1"/>
  <c r="L84" i="1"/>
  <c r="K84" i="1"/>
  <c r="I84" i="1"/>
  <c r="J84" i="1" s="1"/>
  <c r="H84" i="1"/>
  <c r="G84" i="1"/>
  <c r="F84" i="1"/>
  <c r="M74" i="1"/>
  <c r="M75" i="1"/>
  <c r="M76" i="1"/>
  <c r="M77" i="1"/>
  <c r="M78" i="1"/>
  <c r="M79" i="1"/>
  <c r="L79" i="1"/>
  <c r="K79" i="1"/>
  <c r="I79" i="1"/>
  <c r="J79" i="1" s="1"/>
  <c r="H79" i="1"/>
  <c r="G79" i="1"/>
  <c r="F79" i="1"/>
  <c r="L78" i="1"/>
  <c r="K78" i="1"/>
  <c r="I78" i="1"/>
  <c r="J78" i="1" s="1"/>
  <c r="H78" i="1"/>
  <c r="G78" i="1"/>
  <c r="F78" i="1"/>
  <c r="L77" i="1"/>
  <c r="K77" i="1"/>
  <c r="I77" i="1"/>
  <c r="J77" i="1" s="1"/>
  <c r="H77" i="1"/>
  <c r="G77" i="1"/>
  <c r="F77" i="1"/>
  <c r="L76" i="1"/>
  <c r="K76" i="1"/>
  <c r="I76" i="1"/>
  <c r="J76" i="1" s="1"/>
  <c r="H76" i="1"/>
  <c r="G76" i="1"/>
  <c r="F76" i="1"/>
  <c r="L75" i="1"/>
  <c r="K75" i="1"/>
  <c r="I75" i="1"/>
  <c r="J75" i="1" s="1"/>
  <c r="H75" i="1"/>
  <c r="G75" i="1"/>
  <c r="F75" i="1"/>
  <c r="L74" i="1"/>
  <c r="K74" i="1"/>
  <c r="I74" i="1"/>
  <c r="J74" i="1" s="1"/>
  <c r="H74" i="1"/>
  <c r="G74" i="1"/>
  <c r="F74" i="1"/>
  <c r="L64" i="1"/>
  <c r="L65" i="1"/>
  <c r="L66" i="1"/>
  <c r="L67" i="1"/>
  <c r="L68" i="1"/>
  <c r="L69" i="1"/>
  <c r="K69" i="1"/>
  <c r="I69" i="1"/>
  <c r="J69" i="1" s="1"/>
  <c r="H69" i="1"/>
  <c r="G69" i="1"/>
  <c r="F69" i="1"/>
  <c r="K68" i="1"/>
  <c r="I68" i="1"/>
  <c r="J68" i="1" s="1"/>
  <c r="H68" i="1"/>
  <c r="G68" i="1"/>
  <c r="F68" i="1"/>
  <c r="K67" i="1"/>
  <c r="I67" i="1"/>
  <c r="J67" i="1" s="1"/>
  <c r="H67" i="1"/>
  <c r="G67" i="1"/>
  <c r="F67" i="1"/>
  <c r="K66" i="1"/>
  <c r="I66" i="1"/>
  <c r="J66" i="1" s="1"/>
  <c r="H66" i="1"/>
  <c r="G66" i="1"/>
  <c r="F66" i="1"/>
  <c r="K65" i="1"/>
  <c r="I65" i="1"/>
  <c r="J65" i="1" s="1"/>
  <c r="H65" i="1"/>
  <c r="G65" i="1"/>
  <c r="F65" i="1"/>
  <c r="K64" i="1"/>
  <c r="I64" i="1"/>
  <c r="J64" i="1" s="1"/>
  <c r="H64" i="1"/>
  <c r="G64" i="1"/>
  <c r="F64" i="1"/>
  <c r="K55" i="1"/>
  <c r="K56" i="1"/>
  <c r="K57" i="1"/>
  <c r="K58" i="1"/>
  <c r="K59" i="1"/>
  <c r="K54" i="1"/>
  <c r="I59" i="1"/>
  <c r="J59" i="1" s="1"/>
  <c r="H59" i="1"/>
  <c r="G59" i="1"/>
  <c r="F59" i="1"/>
  <c r="I58" i="1"/>
  <c r="J58" i="1" s="1"/>
  <c r="H58" i="1"/>
  <c r="G58" i="1"/>
  <c r="F58" i="1"/>
  <c r="I57" i="1"/>
  <c r="J57" i="1" s="1"/>
  <c r="H57" i="1"/>
  <c r="G57" i="1"/>
  <c r="F57" i="1"/>
  <c r="I56" i="1"/>
  <c r="J56" i="1" s="1"/>
  <c r="H56" i="1"/>
  <c r="G56" i="1"/>
  <c r="F56" i="1"/>
  <c r="I55" i="1"/>
  <c r="J55" i="1" s="1"/>
  <c r="H55" i="1"/>
  <c r="G55" i="1"/>
  <c r="F55" i="1"/>
  <c r="J54" i="1"/>
  <c r="I54" i="1"/>
  <c r="H54" i="1"/>
  <c r="G54" i="1"/>
  <c r="F54" i="1"/>
  <c r="J45" i="1"/>
  <c r="J46" i="1"/>
  <c r="J47" i="1"/>
  <c r="J48" i="1"/>
  <c r="J49" i="1"/>
  <c r="J44" i="1"/>
  <c r="I45" i="1"/>
  <c r="I46" i="1"/>
  <c r="I47" i="1"/>
  <c r="I48" i="1"/>
  <c r="I49" i="1"/>
  <c r="I44" i="1"/>
  <c r="H49" i="1"/>
  <c r="G49" i="1"/>
  <c r="F49" i="1"/>
  <c r="H48" i="1"/>
  <c r="G48" i="1"/>
  <c r="F48" i="1"/>
  <c r="H47" i="1"/>
  <c r="G47" i="1"/>
  <c r="F47" i="1"/>
  <c r="H46" i="1"/>
  <c r="G46" i="1"/>
  <c r="F46" i="1"/>
  <c r="H45" i="1"/>
  <c r="G45" i="1"/>
  <c r="F45" i="1"/>
  <c r="H44" i="1"/>
  <c r="G44" i="1"/>
  <c r="F44" i="1"/>
  <c r="G39" i="1"/>
  <c r="G35" i="1"/>
  <c r="H35" i="1"/>
  <c r="H36" i="1"/>
  <c r="H37" i="1"/>
  <c r="H38" i="1"/>
  <c r="H39" i="1"/>
  <c r="H34" i="1"/>
  <c r="F39" i="1"/>
  <c r="G38" i="1"/>
  <c r="F38" i="1"/>
  <c r="G37" i="1"/>
  <c r="F37" i="1"/>
  <c r="G36" i="1"/>
  <c r="F36" i="1"/>
  <c r="F35" i="1"/>
  <c r="G34" i="1"/>
  <c r="F34" i="1"/>
  <c r="G25" i="1"/>
  <c r="G26" i="1"/>
  <c r="G27" i="1"/>
  <c r="G28" i="1"/>
  <c r="G29" i="1"/>
  <c r="G24" i="1"/>
  <c r="F29" i="1"/>
  <c r="F28" i="1"/>
  <c r="F27" i="1"/>
  <c r="F26" i="1"/>
  <c r="F25" i="1"/>
  <c r="F24" i="1"/>
</calcChain>
</file>

<file path=xl/sharedStrings.xml><?xml version="1.0" encoding="utf-8"?>
<sst xmlns="http://schemas.openxmlformats.org/spreadsheetml/2006/main" count="203" uniqueCount="33">
  <si>
    <t>Worksheet: Sales Data</t>
  </si>
  <si>
    <t>ProductID</t>
  </si>
  <si>
    <t>Product</t>
  </si>
  <si>
    <t>Sales</t>
  </si>
  <si>
    <t>Target</t>
  </si>
  <si>
    <t>Region</t>
  </si>
  <si>
    <t>Product A</t>
  </si>
  <si>
    <t>Product B</t>
  </si>
  <si>
    <t>Product C</t>
  </si>
  <si>
    <t>Product D</t>
  </si>
  <si>
    <t>Product E</t>
  </si>
  <si>
    <t>Product F</t>
  </si>
  <si>
    <t>North</t>
  </si>
  <si>
    <t>South</t>
  </si>
  <si>
    <t>East</t>
  </si>
  <si>
    <t>West</t>
  </si>
  <si>
    <t>1. Use the IF function to evaluate whether each product met its sales target.</t>
  </si>
  <si>
    <t>2. Use the IF function to determine if a product is eligible for a regional bonus. Products in the "North" region with sales over 200 are eligible.</t>
  </si>
  <si>
    <t>Sales TargetMet</t>
  </si>
  <si>
    <t>Regional Bonus</t>
  </si>
  <si>
    <t>Commission Rate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</si>
  <si>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</si>
  <si>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</si>
  <si>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>Bonus Amount</t>
  </si>
  <si>
    <t>Bonus Percentage</t>
  </si>
  <si>
    <t>5. Use the IF function to categorize sales performance as "Excellent" (&gt;=200), "Good" (&gt;=150), or "Needs Improvement" (&lt;150).</t>
  </si>
  <si>
    <t>Sales Performance</t>
  </si>
  <si>
    <t>6. Use the IF function to assign a price tier based on the sales value. "High" for sales &gt; 200, "Medium" for sales between 100 and 200, and "Low" for sales &lt; 100.</t>
  </si>
  <si>
    <t>Price Tier</t>
  </si>
  <si>
    <t>7. Use the IF function to calculate the year-end bonus. If sales &gt;= 150 and region is "North", the bonus is $500, otherwise, it's $300.</t>
  </si>
  <si>
    <t>Year-End Bonus($)</t>
  </si>
  <si>
    <t>8. Use the IF function to mark high performers. A product is a high performer if its sales are in the top 25% of all sales.</t>
  </si>
  <si>
    <t>Product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</si>
</sst>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1" fillId="3" borderId="1" xfId="0" applyFont="1" applyFill="1" applyBorder="1"/>
    <xf numFmtId="0" fontId="1" fillId="0" borderId="0" xfId="0" applyFon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4A87-EC21-4CF1-99EF-394C3317070B}">
  <dimension ref="A1:S89"/>
  <sheetViews>
    <sheetView tabSelected="1" topLeftCell="A56" workbookViewId="0">
      <selection activeCell="V79" sqref="V79"/>
    </sheetView>
  </sheetViews>
  <sheetFormatPr defaultRowHeight="15" x14ac:dyDescent="0.25"/>
  <cols>
    <col min="1" max="1" width="9.7109375" bestFit="1" customWidth="1"/>
    <col min="2" max="2" width="9.5703125" bestFit="1" customWidth="1"/>
    <col min="3" max="3" width="5.5703125" bestFit="1" customWidth="1"/>
    <col min="4" max="4" width="6.5703125" bestFit="1" customWidth="1"/>
    <col min="5" max="5" width="7.140625" bestFit="1" customWidth="1"/>
    <col min="6" max="6" width="15.42578125" bestFit="1" customWidth="1"/>
    <col min="7" max="7" width="14.7109375" bestFit="1" customWidth="1"/>
    <col min="8" max="8" width="16.42578125" bestFit="1" customWidth="1"/>
    <col min="9" max="9" width="17" bestFit="1" customWidth="1"/>
    <col min="10" max="10" width="14.140625" bestFit="1" customWidth="1"/>
    <col min="11" max="11" width="19.5703125" bestFit="1" customWidth="1"/>
    <col min="12" max="12" width="9.28515625" bestFit="1" customWidth="1"/>
    <col min="13" max="13" width="17.5703125" bestFit="1" customWidth="1"/>
    <col min="14" max="14" width="20" bestFit="1" customWidth="1"/>
    <col min="17" max="17" width="10.42578125" bestFit="1" customWidth="1"/>
    <col min="18" max="18" width="17.28515625" bestFit="1" customWidth="1"/>
    <col min="19" max="20" width="6" bestFit="1" customWidth="1"/>
  </cols>
  <sheetData>
    <row r="1" spans="1:6" x14ac:dyDescent="0.25">
      <c r="A1" s="1" t="s">
        <v>0</v>
      </c>
      <c r="B1" s="1"/>
      <c r="C1" s="1"/>
    </row>
    <row r="3" spans="1:6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6" x14ac:dyDescent="0.25">
      <c r="A4" s="3">
        <v>101</v>
      </c>
      <c r="B4" s="3" t="s">
        <v>6</v>
      </c>
      <c r="C4" s="3">
        <v>120</v>
      </c>
      <c r="D4" s="3">
        <v>150</v>
      </c>
      <c r="E4" s="3" t="s">
        <v>12</v>
      </c>
    </row>
    <row r="5" spans="1:6" x14ac:dyDescent="0.25">
      <c r="A5" s="3">
        <v>102</v>
      </c>
      <c r="B5" s="3" t="s">
        <v>7</v>
      </c>
      <c r="C5" s="3">
        <v>150</v>
      </c>
      <c r="D5" s="3">
        <v>140</v>
      </c>
      <c r="E5" s="3" t="s">
        <v>13</v>
      </c>
    </row>
    <row r="6" spans="1:6" x14ac:dyDescent="0.25">
      <c r="A6" s="3">
        <v>103</v>
      </c>
      <c r="B6" s="3" t="s">
        <v>8</v>
      </c>
      <c r="C6" s="3">
        <v>200</v>
      </c>
      <c r="D6" s="3">
        <v>200</v>
      </c>
      <c r="E6" s="3" t="s">
        <v>14</v>
      </c>
    </row>
    <row r="7" spans="1:6" x14ac:dyDescent="0.25">
      <c r="A7" s="3">
        <v>104</v>
      </c>
      <c r="B7" s="3" t="s">
        <v>9</v>
      </c>
      <c r="C7" s="3">
        <v>90</v>
      </c>
      <c r="D7" s="3">
        <v>100</v>
      </c>
      <c r="E7" s="3" t="s">
        <v>15</v>
      </c>
    </row>
    <row r="8" spans="1:6" x14ac:dyDescent="0.25">
      <c r="A8" s="3">
        <v>105</v>
      </c>
      <c r="B8" s="3" t="s">
        <v>10</v>
      </c>
      <c r="C8" s="3">
        <v>220</v>
      </c>
      <c r="D8" s="3">
        <v>210</v>
      </c>
      <c r="E8" s="3" t="s">
        <v>12</v>
      </c>
    </row>
    <row r="9" spans="1:6" x14ac:dyDescent="0.25">
      <c r="A9" s="3">
        <v>106</v>
      </c>
      <c r="B9" s="3" t="s">
        <v>11</v>
      </c>
      <c r="C9" s="3">
        <v>130</v>
      </c>
      <c r="D9" s="3">
        <v>160</v>
      </c>
      <c r="E9" s="3" t="s">
        <v>13</v>
      </c>
    </row>
    <row r="11" spans="1:6" x14ac:dyDescent="0.25">
      <c r="A11" s="2" t="s">
        <v>16</v>
      </c>
    </row>
    <row r="13" spans="1:6" x14ac:dyDescent="0.25">
      <c r="A13" s="4" t="s">
        <v>1</v>
      </c>
      <c r="B13" s="4" t="s">
        <v>2</v>
      </c>
      <c r="C13" s="4" t="s">
        <v>3</v>
      </c>
      <c r="D13" s="4" t="s">
        <v>4</v>
      </c>
      <c r="E13" s="4" t="s">
        <v>5</v>
      </c>
      <c r="F13" s="4" t="s">
        <v>18</v>
      </c>
    </row>
    <row r="14" spans="1:6" x14ac:dyDescent="0.25">
      <c r="A14" s="3">
        <v>101</v>
      </c>
      <c r="B14" s="3" t="s">
        <v>6</v>
      </c>
      <c r="C14" s="3">
        <v>120</v>
      </c>
      <c r="D14" s="3">
        <v>150</v>
      </c>
      <c r="E14" s="3" t="s">
        <v>12</v>
      </c>
      <c r="F14" s="3" t="str">
        <f>IF(C14&gt;=D14, "Yes", "No")</f>
        <v>No</v>
      </c>
    </row>
    <row r="15" spans="1:6" x14ac:dyDescent="0.25">
      <c r="A15" s="3">
        <v>102</v>
      </c>
      <c r="B15" s="3" t="s">
        <v>7</v>
      </c>
      <c r="C15" s="3">
        <v>150</v>
      </c>
      <c r="D15" s="3">
        <v>140</v>
      </c>
      <c r="E15" s="3" t="s">
        <v>13</v>
      </c>
      <c r="F15" s="3" t="str">
        <f t="shared" ref="F15:F19" si="0">IF(C15&gt;=D15, "Yes", "No")</f>
        <v>Yes</v>
      </c>
    </row>
    <row r="16" spans="1:6" x14ac:dyDescent="0.25">
      <c r="A16" s="3">
        <v>103</v>
      </c>
      <c r="B16" s="3" t="s">
        <v>8</v>
      </c>
      <c r="C16" s="3">
        <v>200</v>
      </c>
      <c r="D16" s="3">
        <v>200</v>
      </c>
      <c r="E16" s="3" t="s">
        <v>14</v>
      </c>
      <c r="F16" s="3" t="str">
        <f t="shared" si="0"/>
        <v>Yes</v>
      </c>
    </row>
    <row r="17" spans="1:7" x14ac:dyDescent="0.25">
      <c r="A17" s="3">
        <v>104</v>
      </c>
      <c r="B17" s="3" t="s">
        <v>9</v>
      </c>
      <c r="C17" s="3">
        <v>90</v>
      </c>
      <c r="D17" s="3">
        <v>100</v>
      </c>
      <c r="E17" s="3" t="s">
        <v>15</v>
      </c>
      <c r="F17" s="3" t="str">
        <f t="shared" si="0"/>
        <v>No</v>
      </c>
    </row>
    <row r="18" spans="1:7" x14ac:dyDescent="0.25">
      <c r="A18" s="3">
        <v>105</v>
      </c>
      <c r="B18" s="3" t="s">
        <v>10</v>
      </c>
      <c r="C18" s="3">
        <v>220</v>
      </c>
      <c r="D18" s="3">
        <v>210</v>
      </c>
      <c r="E18" s="3" t="s">
        <v>12</v>
      </c>
      <c r="F18" s="3" t="str">
        <f t="shared" si="0"/>
        <v>Yes</v>
      </c>
    </row>
    <row r="19" spans="1:7" x14ac:dyDescent="0.25">
      <c r="A19" s="3">
        <v>106</v>
      </c>
      <c r="B19" s="3" t="s">
        <v>11</v>
      </c>
      <c r="C19" s="3">
        <v>130</v>
      </c>
      <c r="D19" s="3">
        <v>160</v>
      </c>
      <c r="E19" s="3" t="s">
        <v>13</v>
      </c>
      <c r="F19" s="3" t="str">
        <f t="shared" si="0"/>
        <v>No</v>
      </c>
    </row>
    <row r="21" spans="1:7" x14ac:dyDescent="0.25">
      <c r="A21" s="2" t="s">
        <v>17</v>
      </c>
    </row>
    <row r="23" spans="1:7" x14ac:dyDescent="0.25">
      <c r="A23" s="4" t="s">
        <v>1</v>
      </c>
      <c r="B23" s="4" t="s">
        <v>2</v>
      </c>
      <c r="C23" s="4" t="s">
        <v>3</v>
      </c>
      <c r="D23" s="4" t="s">
        <v>4</v>
      </c>
      <c r="E23" s="4" t="s">
        <v>5</v>
      </c>
      <c r="F23" s="4" t="s">
        <v>18</v>
      </c>
      <c r="G23" s="4" t="s">
        <v>19</v>
      </c>
    </row>
    <row r="24" spans="1:7" x14ac:dyDescent="0.25">
      <c r="A24" s="3">
        <v>101</v>
      </c>
      <c r="B24" s="3" t="s">
        <v>6</v>
      </c>
      <c r="C24" s="3">
        <v>120</v>
      </c>
      <c r="D24" s="3">
        <v>150</v>
      </c>
      <c r="E24" s="3" t="s">
        <v>12</v>
      </c>
      <c r="F24" s="3" t="str">
        <f>IF(C24&gt;=D24, "Yes", "No")</f>
        <v>No</v>
      </c>
      <c r="G24" s="3" t="str">
        <f>IF(AND(E24="North", C24&gt;200), "Eligible", "Not Eligible")</f>
        <v>Not Eligible</v>
      </c>
    </row>
    <row r="25" spans="1:7" x14ac:dyDescent="0.25">
      <c r="A25" s="3">
        <v>102</v>
      </c>
      <c r="B25" s="3" t="s">
        <v>7</v>
      </c>
      <c r="C25" s="3">
        <v>150</v>
      </c>
      <c r="D25" s="3">
        <v>140</v>
      </c>
      <c r="E25" s="3" t="s">
        <v>13</v>
      </c>
      <c r="F25" s="3" t="str">
        <f t="shared" ref="F25:F29" si="1">IF(C25&gt;=D25, "Yes", "No")</f>
        <v>Yes</v>
      </c>
      <c r="G25" s="3" t="str">
        <f t="shared" ref="G25:G29" si="2">IF(AND(E25="North", C25&gt;200), "Eligible", "Not Eligible")</f>
        <v>Not Eligible</v>
      </c>
    </row>
    <row r="26" spans="1:7" x14ac:dyDescent="0.25">
      <c r="A26" s="3">
        <v>103</v>
      </c>
      <c r="B26" s="3" t="s">
        <v>8</v>
      </c>
      <c r="C26" s="3">
        <v>200</v>
      </c>
      <c r="D26" s="3">
        <v>200</v>
      </c>
      <c r="E26" s="3" t="s">
        <v>14</v>
      </c>
      <c r="F26" s="3" t="str">
        <f t="shared" si="1"/>
        <v>Yes</v>
      </c>
      <c r="G26" s="3" t="str">
        <f t="shared" si="2"/>
        <v>Not Eligible</v>
      </c>
    </row>
    <row r="27" spans="1:7" x14ac:dyDescent="0.25">
      <c r="A27" s="3">
        <v>104</v>
      </c>
      <c r="B27" s="3" t="s">
        <v>9</v>
      </c>
      <c r="C27" s="3">
        <v>90</v>
      </c>
      <c r="D27" s="3">
        <v>100</v>
      </c>
      <c r="E27" s="3" t="s">
        <v>15</v>
      </c>
      <c r="F27" s="3" t="str">
        <f t="shared" si="1"/>
        <v>No</v>
      </c>
      <c r="G27" s="3" t="str">
        <f t="shared" si="2"/>
        <v>Not Eligible</v>
      </c>
    </row>
    <row r="28" spans="1:7" x14ac:dyDescent="0.25">
      <c r="A28" s="3">
        <v>105</v>
      </c>
      <c r="B28" s="3" t="s">
        <v>10</v>
      </c>
      <c r="C28" s="3">
        <v>220</v>
      </c>
      <c r="D28" s="3">
        <v>210</v>
      </c>
      <c r="E28" s="3" t="s">
        <v>12</v>
      </c>
      <c r="F28" s="3" t="str">
        <f t="shared" si="1"/>
        <v>Yes</v>
      </c>
      <c r="G28" s="3" t="str">
        <f t="shared" si="2"/>
        <v>Eligible</v>
      </c>
    </row>
    <row r="29" spans="1:7" x14ac:dyDescent="0.25">
      <c r="A29" s="3">
        <v>106</v>
      </c>
      <c r="B29" s="3" t="s">
        <v>11</v>
      </c>
      <c r="C29" s="3">
        <v>130</v>
      </c>
      <c r="D29" s="3">
        <v>160</v>
      </c>
      <c r="E29" s="3" t="s">
        <v>13</v>
      </c>
      <c r="F29" s="3" t="str">
        <f t="shared" si="1"/>
        <v>No</v>
      </c>
      <c r="G29" s="3" t="str">
        <f t="shared" si="2"/>
        <v>Not Eligible</v>
      </c>
    </row>
    <row r="31" spans="1:7" x14ac:dyDescent="0.25">
      <c r="A31" s="2" t="s">
        <v>21</v>
      </c>
    </row>
    <row r="33" spans="1:10" x14ac:dyDescent="0.25">
      <c r="A33" s="4" t="s">
        <v>1</v>
      </c>
      <c r="B33" s="4" t="s">
        <v>2</v>
      </c>
      <c r="C33" s="4" t="s">
        <v>3</v>
      </c>
      <c r="D33" s="4" t="s">
        <v>4</v>
      </c>
      <c r="E33" s="4" t="s">
        <v>5</v>
      </c>
      <c r="F33" s="4" t="s">
        <v>18</v>
      </c>
      <c r="G33" s="4" t="s">
        <v>19</v>
      </c>
      <c r="H33" s="4" t="s">
        <v>20</v>
      </c>
    </row>
    <row r="34" spans="1:10" x14ac:dyDescent="0.25">
      <c r="A34" s="3">
        <v>101</v>
      </c>
      <c r="B34" s="3" t="s">
        <v>6</v>
      </c>
      <c r="C34" s="3">
        <v>120</v>
      </c>
      <c r="D34" s="3">
        <v>150</v>
      </c>
      <c r="E34" s="3" t="s">
        <v>12</v>
      </c>
      <c r="F34" s="3" t="str">
        <f>IF(C34&gt;=D34, "Yes", "No")</f>
        <v>No</v>
      </c>
      <c r="G34" s="3" t="str">
        <f>IF(AND(E34="North", C34&gt;200), "Eligible", "Not Eligible")</f>
        <v>Not Eligible</v>
      </c>
      <c r="H34" s="3">
        <f>IF(C34&gt;=200,10%,IF(C34&gt;=150,7%,5%))</f>
        <v>0.05</v>
      </c>
    </row>
    <row r="35" spans="1:10" x14ac:dyDescent="0.25">
      <c r="A35" s="3">
        <v>102</v>
      </c>
      <c r="B35" s="3" t="s">
        <v>7</v>
      </c>
      <c r="C35" s="3">
        <v>150</v>
      </c>
      <c r="D35" s="3">
        <v>140</v>
      </c>
      <c r="E35" s="3" t="s">
        <v>13</v>
      </c>
      <c r="F35" s="3" t="str">
        <f t="shared" ref="F35:F39" si="3">IF(C35&gt;=D35, "Yes", "No")</f>
        <v>Yes</v>
      </c>
      <c r="G35" s="3" t="str">
        <f>IF(AND(E35="North", C35&gt;200), "Eligible", "Not Eligible")</f>
        <v>Not Eligible</v>
      </c>
      <c r="H35" s="3">
        <f t="shared" ref="H35:H39" si="4">IF(C35&gt;=200,10%,IF(C35&gt;=150,7%,5%))</f>
        <v>7.0000000000000007E-2</v>
      </c>
    </row>
    <row r="36" spans="1:10" x14ac:dyDescent="0.25">
      <c r="A36" s="3">
        <v>103</v>
      </c>
      <c r="B36" s="3" t="s">
        <v>8</v>
      </c>
      <c r="C36" s="3">
        <v>200</v>
      </c>
      <c r="D36" s="3">
        <v>200</v>
      </c>
      <c r="E36" s="3" t="s">
        <v>14</v>
      </c>
      <c r="F36" s="3" t="str">
        <f t="shared" si="3"/>
        <v>Yes</v>
      </c>
      <c r="G36" s="3" t="str">
        <f t="shared" ref="G36:G39" si="5">IF(AND(E36="North", C36&gt;200), "Eligible", "Not Eligible")</f>
        <v>Not Eligible</v>
      </c>
      <c r="H36" s="3">
        <f t="shared" si="4"/>
        <v>0.1</v>
      </c>
    </row>
    <row r="37" spans="1:10" x14ac:dyDescent="0.25">
      <c r="A37" s="3">
        <v>104</v>
      </c>
      <c r="B37" s="3" t="s">
        <v>9</v>
      </c>
      <c r="C37" s="3">
        <v>90</v>
      </c>
      <c r="D37" s="3">
        <v>100</v>
      </c>
      <c r="E37" s="3" t="s">
        <v>15</v>
      </c>
      <c r="F37" s="3" t="str">
        <f t="shared" si="3"/>
        <v>No</v>
      </c>
      <c r="G37" s="3" t="str">
        <f t="shared" si="5"/>
        <v>Not Eligible</v>
      </c>
      <c r="H37" s="3">
        <f t="shared" si="4"/>
        <v>0.05</v>
      </c>
    </row>
    <row r="38" spans="1:10" x14ac:dyDescent="0.25">
      <c r="A38" s="3">
        <v>105</v>
      </c>
      <c r="B38" s="3" t="s">
        <v>10</v>
      </c>
      <c r="C38" s="3">
        <v>220</v>
      </c>
      <c r="D38" s="3">
        <v>210</v>
      </c>
      <c r="E38" s="3" t="s">
        <v>12</v>
      </c>
      <c r="F38" s="3" t="str">
        <f t="shared" si="3"/>
        <v>Yes</v>
      </c>
      <c r="G38" s="3" t="str">
        <f t="shared" si="5"/>
        <v>Eligible</v>
      </c>
      <c r="H38" s="3">
        <f t="shared" si="4"/>
        <v>0.1</v>
      </c>
    </row>
    <row r="39" spans="1:10" x14ac:dyDescent="0.25">
      <c r="A39" s="3">
        <v>106</v>
      </c>
      <c r="B39" s="3" t="s">
        <v>11</v>
      </c>
      <c r="C39" s="3">
        <v>130</v>
      </c>
      <c r="D39" s="3">
        <v>160</v>
      </c>
      <c r="E39" s="3" t="s">
        <v>13</v>
      </c>
      <c r="F39" s="3" t="str">
        <f t="shared" si="3"/>
        <v>No</v>
      </c>
      <c r="G39" s="3" t="str">
        <f t="shared" si="5"/>
        <v>Not Eligible</v>
      </c>
      <c r="H39" s="3">
        <f t="shared" si="4"/>
        <v>0.05</v>
      </c>
    </row>
    <row r="41" spans="1:10" x14ac:dyDescent="0.25">
      <c r="A41" s="2" t="s">
        <v>22</v>
      </c>
    </row>
    <row r="43" spans="1:10" x14ac:dyDescent="0.25">
      <c r="A43" s="4" t="s">
        <v>1</v>
      </c>
      <c r="B43" s="4" t="s">
        <v>2</v>
      </c>
      <c r="C43" s="4" t="s">
        <v>3</v>
      </c>
      <c r="D43" s="4" t="s">
        <v>4</v>
      </c>
      <c r="E43" s="4" t="s">
        <v>5</v>
      </c>
      <c r="F43" s="4" t="s">
        <v>18</v>
      </c>
      <c r="G43" s="4" t="s">
        <v>19</v>
      </c>
      <c r="H43" s="4" t="s">
        <v>20</v>
      </c>
      <c r="I43" s="4" t="s">
        <v>24</v>
      </c>
      <c r="J43" s="4" t="s">
        <v>23</v>
      </c>
    </row>
    <row r="44" spans="1:10" x14ac:dyDescent="0.25">
      <c r="A44" s="3">
        <v>101</v>
      </c>
      <c r="B44" s="3" t="s">
        <v>6</v>
      </c>
      <c r="C44" s="3">
        <v>120</v>
      </c>
      <c r="D44" s="3">
        <v>150</v>
      </c>
      <c r="E44" s="3" t="s">
        <v>12</v>
      </c>
      <c r="F44" s="3" t="str">
        <f>IF(C44&gt;=D44, "Yes", "No")</f>
        <v>No</v>
      </c>
      <c r="G44" s="3" t="str">
        <f>IF(AND(E44="North", C44&gt;200), "Eligible", "Not Eligible")</f>
        <v>Not Eligible</v>
      </c>
      <c r="H44" s="3">
        <f>IF(C44&gt;=200,10%,IF(C44&gt;=150,7%,5%))</f>
        <v>0.05</v>
      </c>
      <c r="I44" s="3">
        <f>IF(C44&gt;=D44,10%,5%)</f>
        <v>0.05</v>
      </c>
      <c r="J44" s="3">
        <f>I44*C44</f>
        <v>6</v>
      </c>
    </row>
    <row r="45" spans="1:10" x14ac:dyDescent="0.25">
      <c r="A45" s="3">
        <v>102</v>
      </c>
      <c r="B45" s="3" t="s">
        <v>7</v>
      </c>
      <c r="C45" s="3">
        <v>150</v>
      </c>
      <c r="D45" s="3">
        <v>140</v>
      </c>
      <c r="E45" s="3" t="s">
        <v>13</v>
      </c>
      <c r="F45" s="3" t="str">
        <f t="shared" ref="F45:F49" si="6">IF(C45&gt;=D45, "Yes", "No")</f>
        <v>Yes</v>
      </c>
      <c r="G45" s="3" t="str">
        <f>IF(AND(E45="North", C45&gt;200), "Eligible", "Not Eligible")</f>
        <v>Not Eligible</v>
      </c>
      <c r="H45" s="3">
        <f t="shared" ref="H45:H49" si="7">IF(C45&gt;=200,10%,IF(C45&gt;=150,7%,5%))</f>
        <v>7.0000000000000007E-2</v>
      </c>
      <c r="I45" s="3">
        <f t="shared" ref="I45:I49" si="8">IF(C45&gt;=D45,10%,5%)</f>
        <v>0.1</v>
      </c>
      <c r="J45" s="3">
        <f t="shared" ref="J45:J49" si="9">I45*C45</f>
        <v>15</v>
      </c>
    </row>
    <row r="46" spans="1:10" x14ac:dyDescent="0.25">
      <c r="A46" s="3">
        <v>103</v>
      </c>
      <c r="B46" s="3" t="s">
        <v>8</v>
      </c>
      <c r="C46" s="3">
        <v>200</v>
      </c>
      <c r="D46" s="3">
        <v>200</v>
      </c>
      <c r="E46" s="3" t="s">
        <v>14</v>
      </c>
      <c r="F46" s="3" t="str">
        <f t="shared" si="6"/>
        <v>Yes</v>
      </c>
      <c r="G46" s="3" t="str">
        <f t="shared" ref="G46:G49" si="10">IF(AND(E46="North", C46&gt;200), "Eligible", "Not Eligible")</f>
        <v>Not Eligible</v>
      </c>
      <c r="H46" s="3">
        <f t="shared" si="7"/>
        <v>0.1</v>
      </c>
      <c r="I46" s="3">
        <f t="shared" si="8"/>
        <v>0.1</v>
      </c>
      <c r="J46" s="3">
        <f t="shared" si="9"/>
        <v>20</v>
      </c>
    </row>
    <row r="47" spans="1:10" x14ac:dyDescent="0.25">
      <c r="A47" s="3">
        <v>104</v>
      </c>
      <c r="B47" s="3" t="s">
        <v>9</v>
      </c>
      <c r="C47" s="3">
        <v>90</v>
      </c>
      <c r="D47" s="3">
        <v>100</v>
      </c>
      <c r="E47" s="3" t="s">
        <v>15</v>
      </c>
      <c r="F47" s="3" t="str">
        <f t="shared" si="6"/>
        <v>No</v>
      </c>
      <c r="G47" s="3" t="str">
        <f t="shared" si="10"/>
        <v>Not Eligible</v>
      </c>
      <c r="H47" s="3">
        <f t="shared" si="7"/>
        <v>0.05</v>
      </c>
      <c r="I47" s="3">
        <f t="shared" si="8"/>
        <v>0.05</v>
      </c>
      <c r="J47" s="3">
        <f t="shared" si="9"/>
        <v>4.5</v>
      </c>
    </row>
    <row r="48" spans="1:10" x14ac:dyDescent="0.25">
      <c r="A48" s="3">
        <v>105</v>
      </c>
      <c r="B48" s="3" t="s">
        <v>10</v>
      </c>
      <c r="C48" s="3">
        <v>220</v>
      </c>
      <c r="D48" s="3">
        <v>210</v>
      </c>
      <c r="E48" s="3" t="s">
        <v>12</v>
      </c>
      <c r="F48" s="3" t="str">
        <f t="shared" si="6"/>
        <v>Yes</v>
      </c>
      <c r="G48" s="3" t="str">
        <f t="shared" si="10"/>
        <v>Eligible</v>
      </c>
      <c r="H48" s="3">
        <f t="shared" si="7"/>
        <v>0.1</v>
      </c>
      <c r="I48" s="3">
        <f t="shared" si="8"/>
        <v>0.1</v>
      </c>
      <c r="J48" s="3">
        <f t="shared" si="9"/>
        <v>22</v>
      </c>
    </row>
    <row r="49" spans="1:12" x14ac:dyDescent="0.25">
      <c r="A49" s="3">
        <v>106</v>
      </c>
      <c r="B49" s="3" t="s">
        <v>11</v>
      </c>
      <c r="C49" s="3">
        <v>130</v>
      </c>
      <c r="D49" s="3">
        <v>160</v>
      </c>
      <c r="E49" s="3" t="s">
        <v>13</v>
      </c>
      <c r="F49" s="3" t="str">
        <f t="shared" si="6"/>
        <v>No</v>
      </c>
      <c r="G49" s="3" t="str">
        <f t="shared" si="10"/>
        <v>Not Eligible</v>
      </c>
      <c r="H49" s="3">
        <f t="shared" si="7"/>
        <v>0.05</v>
      </c>
      <c r="I49" s="3">
        <f t="shared" si="8"/>
        <v>0.05</v>
      </c>
      <c r="J49" s="3">
        <f t="shared" si="9"/>
        <v>6.5</v>
      </c>
    </row>
    <row r="51" spans="1:12" x14ac:dyDescent="0.25">
      <c r="A51" s="2" t="s">
        <v>25</v>
      </c>
    </row>
    <row r="53" spans="1:12" x14ac:dyDescent="0.25">
      <c r="A53" s="4" t="s">
        <v>1</v>
      </c>
      <c r="B53" s="4" t="s">
        <v>2</v>
      </c>
      <c r="C53" s="4" t="s">
        <v>3</v>
      </c>
      <c r="D53" s="4" t="s">
        <v>4</v>
      </c>
      <c r="E53" s="4" t="s">
        <v>5</v>
      </c>
      <c r="F53" s="4" t="s">
        <v>18</v>
      </c>
      <c r="G53" s="4" t="s">
        <v>19</v>
      </c>
      <c r="H53" s="4" t="s">
        <v>20</v>
      </c>
      <c r="I53" s="4" t="s">
        <v>24</v>
      </c>
      <c r="J53" s="4" t="s">
        <v>23</v>
      </c>
      <c r="K53" s="4" t="s">
        <v>26</v>
      </c>
    </row>
    <row r="54" spans="1:12" x14ac:dyDescent="0.25">
      <c r="A54" s="3">
        <v>101</v>
      </c>
      <c r="B54" s="3" t="s">
        <v>6</v>
      </c>
      <c r="C54" s="3">
        <v>120</v>
      </c>
      <c r="D54" s="3">
        <v>150</v>
      </c>
      <c r="E54" s="3" t="s">
        <v>12</v>
      </c>
      <c r="F54" s="3" t="str">
        <f>IF(C54&gt;=D54, "Yes", "No")</f>
        <v>No</v>
      </c>
      <c r="G54" s="3" t="str">
        <f>IF(AND(E54="North", C54&gt;200), "Eligible", "Not Eligible")</f>
        <v>Not Eligible</v>
      </c>
      <c r="H54" s="3">
        <f>IF(C54&gt;=200,10%,IF(C54&gt;=150,7%,5%))</f>
        <v>0.05</v>
      </c>
      <c r="I54" s="3">
        <f>IF(C54&gt;=D54,10%,5%)</f>
        <v>0.05</v>
      </c>
      <c r="J54" s="3">
        <f>I54*C54</f>
        <v>6</v>
      </c>
      <c r="K54" s="3" t="str">
        <f>IF(C54&gt;=200,"Excellent",IF(C54&gt;=150,"Good", "Needs Improvement"))</f>
        <v>Needs Improvement</v>
      </c>
    </row>
    <row r="55" spans="1:12" x14ac:dyDescent="0.25">
      <c r="A55" s="3">
        <v>102</v>
      </c>
      <c r="B55" s="3" t="s">
        <v>7</v>
      </c>
      <c r="C55" s="3">
        <v>150</v>
      </c>
      <c r="D55" s="3">
        <v>140</v>
      </c>
      <c r="E55" s="3" t="s">
        <v>13</v>
      </c>
      <c r="F55" s="3" t="str">
        <f t="shared" ref="F55:F59" si="11">IF(C55&gt;=D55, "Yes", "No")</f>
        <v>Yes</v>
      </c>
      <c r="G55" s="3" t="str">
        <f>IF(AND(E55="North", C55&gt;200), "Eligible", "Not Eligible")</f>
        <v>Not Eligible</v>
      </c>
      <c r="H55" s="3">
        <f t="shared" ref="H55:H59" si="12">IF(C55&gt;=200,10%,IF(C55&gt;=150,7%,5%))</f>
        <v>7.0000000000000007E-2</v>
      </c>
      <c r="I55" s="3">
        <f t="shared" ref="I55:I59" si="13">IF(C55&gt;=D55,10%,5%)</f>
        <v>0.1</v>
      </c>
      <c r="J55" s="3">
        <f t="shared" ref="J55:J59" si="14">I55*C55</f>
        <v>15</v>
      </c>
      <c r="K55" s="3" t="str">
        <f t="shared" ref="K55:K59" si="15">IF(C55&gt;=200,"Excellent",IF(C55&gt;=150,"Good", "Needs Improvement"))</f>
        <v>Good</v>
      </c>
    </row>
    <row r="56" spans="1:12" x14ac:dyDescent="0.25">
      <c r="A56" s="3">
        <v>103</v>
      </c>
      <c r="B56" s="3" t="s">
        <v>8</v>
      </c>
      <c r="C56" s="3">
        <v>200</v>
      </c>
      <c r="D56" s="3">
        <v>200</v>
      </c>
      <c r="E56" s="3" t="s">
        <v>14</v>
      </c>
      <c r="F56" s="3" t="str">
        <f t="shared" si="11"/>
        <v>Yes</v>
      </c>
      <c r="G56" s="3" t="str">
        <f t="shared" ref="G56:G59" si="16">IF(AND(E56="North", C56&gt;200), "Eligible", "Not Eligible")</f>
        <v>Not Eligible</v>
      </c>
      <c r="H56" s="3">
        <f t="shared" si="12"/>
        <v>0.1</v>
      </c>
      <c r="I56" s="3">
        <f t="shared" si="13"/>
        <v>0.1</v>
      </c>
      <c r="J56" s="3">
        <f t="shared" si="14"/>
        <v>20</v>
      </c>
      <c r="K56" s="3" t="str">
        <f t="shared" si="15"/>
        <v>Excellent</v>
      </c>
    </row>
    <row r="57" spans="1:12" x14ac:dyDescent="0.25">
      <c r="A57" s="3">
        <v>104</v>
      </c>
      <c r="B57" s="3" t="s">
        <v>9</v>
      </c>
      <c r="C57" s="3">
        <v>90</v>
      </c>
      <c r="D57" s="3">
        <v>100</v>
      </c>
      <c r="E57" s="3" t="s">
        <v>15</v>
      </c>
      <c r="F57" s="3" t="str">
        <f t="shared" si="11"/>
        <v>No</v>
      </c>
      <c r="G57" s="3" t="str">
        <f t="shared" si="16"/>
        <v>Not Eligible</v>
      </c>
      <c r="H57" s="3">
        <f t="shared" si="12"/>
        <v>0.05</v>
      </c>
      <c r="I57" s="3">
        <f t="shared" si="13"/>
        <v>0.05</v>
      </c>
      <c r="J57" s="3">
        <f t="shared" si="14"/>
        <v>4.5</v>
      </c>
      <c r="K57" s="3" t="str">
        <f t="shared" si="15"/>
        <v>Needs Improvement</v>
      </c>
    </row>
    <row r="58" spans="1:12" x14ac:dyDescent="0.25">
      <c r="A58" s="3">
        <v>105</v>
      </c>
      <c r="B58" s="3" t="s">
        <v>10</v>
      </c>
      <c r="C58" s="3">
        <v>220</v>
      </c>
      <c r="D58" s="3">
        <v>210</v>
      </c>
      <c r="E58" s="3" t="s">
        <v>12</v>
      </c>
      <c r="F58" s="3" t="str">
        <f t="shared" si="11"/>
        <v>Yes</v>
      </c>
      <c r="G58" s="3" t="str">
        <f t="shared" si="16"/>
        <v>Eligible</v>
      </c>
      <c r="H58" s="3">
        <f t="shared" si="12"/>
        <v>0.1</v>
      </c>
      <c r="I58" s="3">
        <f t="shared" si="13"/>
        <v>0.1</v>
      </c>
      <c r="J58" s="3">
        <f t="shared" si="14"/>
        <v>22</v>
      </c>
      <c r="K58" s="3" t="str">
        <f t="shared" si="15"/>
        <v>Excellent</v>
      </c>
    </row>
    <row r="59" spans="1:12" x14ac:dyDescent="0.25">
      <c r="A59" s="3">
        <v>106</v>
      </c>
      <c r="B59" s="3" t="s">
        <v>11</v>
      </c>
      <c r="C59" s="3">
        <v>130</v>
      </c>
      <c r="D59" s="3">
        <v>160</v>
      </c>
      <c r="E59" s="3" t="s">
        <v>13</v>
      </c>
      <c r="F59" s="3" t="str">
        <f t="shared" si="11"/>
        <v>No</v>
      </c>
      <c r="G59" s="3" t="str">
        <f t="shared" si="16"/>
        <v>Not Eligible</v>
      </c>
      <c r="H59" s="3">
        <f t="shared" si="12"/>
        <v>0.05</v>
      </c>
      <c r="I59" s="3">
        <f t="shared" si="13"/>
        <v>0.05</v>
      </c>
      <c r="J59" s="3">
        <f t="shared" si="14"/>
        <v>6.5</v>
      </c>
      <c r="K59" s="3" t="str">
        <f t="shared" si="15"/>
        <v>Needs Improvement</v>
      </c>
    </row>
    <row r="61" spans="1:12" x14ac:dyDescent="0.25">
      <c r="A61" s="2" t="s">
        <v>27</v>
      </c>
    </row>
    <row r="63" spans="1:12" x14ac:dyDescent="0.25">
      <c r="A63" s="4" t="s">
        <v>1</v>
      </c>
      <c r="B63" s="4" t="s">
        <v>2</v>
      </c>
      <c r="C63" s="4" t="s">
        <v>3</v>
      </c>
      <c r="D63" s="4" t="s">
        <v>4</v>
      </c>
      <c r="E63" s="4" t="s">
        <v>5</v>
      </c>
      <c r="F63" s="4" t="s">
        <v>18</v>
      </c>
      <c r="G63" s="4" t="s">
        <v>19</v>
      </c>
      <c r="H63" s="4" t="s">
        <v>20</v>
      </c>
      <c r="I63" s="4" t="s">
        <v>24</v>
      </c>
      <c r="J63" s="4" t="s">
        <v>23</v>
      </c>
      <c r="K63" s="4" t="s">
        <v>26</v>
      </c>
      <c r="L63" s="4" t="s">
        <v>28</v>
      </c>
    </row>
    <row r="64" spans="1:12" x14ac:dyDescent="0.25">
      <c r="A64" s="3">
        <v>101</v>
      </c>
      <c r="B64" s="3" t="s">
        <v>6</v>
      </c>
      <c r="C64" s="3">
        <v>120</v>
      </c>
      <c r="D64" s="3">
        <v>150</v>
      </c>
      <c r="E64" s="3" t="s">
        <v>12</v>
      </c>
      <c r="F64" s="3" t="str">
        <f>IF(C64&gt;=D64, "Yes", "No")</f>
        <v>No</v>
      </c>
      <c r="G64" s="3" t="str">
        <f>IF(AND(E64="North", C64&gt;200), "Eligible", "Not Eligible")</f>
        <v>Not Eligible</v>
      </c>
      <c r="H64" s="3">
        <f>IF(C64&gt;=200,10%,IF(C64&gt;=150,7%,5%))</f>
        <v>0.05</v>
      </c>
      <c r="I64" s="3">
        <f>IF(C64&gt;=D64,10%,5%)</f>
        <v>0.05</v>
      </c>
      <c r="J64" s="3">
        <f>I64*C64</f>
        <v>6</v>
      </c>
      <c r="K64" s="3" t="str">
        <f>IF(C64&gt;=200,"Excellent",IF(C64&gt;=150,"Good", "Needs Improvement"))</f>
        <v>Needs Improvement</v>
      </c>
      <c r="L64" s="3" t="str">
        <f>IF(C64&gt;200,"High",IF(C64&gt;100, "Medium","Low"))</f>
        <v>Medium</v>
      </c>
    </row>
    <row r="65" spans="1:13" x14ac:dyDescent="0.25">
      <c r="A65" s="3">
        <v>102</v>
      </c>
      <c r="B65" s="3" t="s">
        <v>7</v>
      </c>
      <c r="C65" s="3">
        <v>150</v>
      </c>
      <c r="D65" s="3">
        <v>140</v>
      </c>
      <c r="E65" s="3" t="s">
        <v>13</v>
      </c>
      <c r="F65" s="3" t="str">
        <f t="shared" ref="F65:F69" si="17">IF(C65&gt;=D65, "Yes", "No")</f>
        <v>Yes</v>
      </c>
      <c r="G65" s="3" t="str">
        <f>IF(AND(E65="North", C65&gt;200), "Eligible", "Not Eligible")</f>
        <v>Not Eligible</v>
      </c>
      <c r="H65" s="3">
        <f t="shared" ref="H65:H69" si="18">IF(C65&gt;=200,10%,IF(C65&gt;=150,7%,5%))</f>
        <v>7.0000000000000007E-2</v>
      </c>
      <c r="I65" s="3">
        <f t="shared" ref="I65:I69" si="19">IF(C65&gt;=D65,10%,5%)</f>
        <v>0.1</v>
      </c>
      <c r="J65" s="3">
        <f t="shared" ref="J65:J69" si="20">I65*C65</f>
        <v>15</v>
      </c>
      <c r="K65" s="3" t="str">
        <f t="shared" ref="K65:K69" si="21">IF(C65&gt;=200,"Excellent",IF(C65&gt;=150,"Good", "Needs Improvement"))</f>
        <v>Good</v>
      </c>
      <c r="L65" s="3" t="str">
        <f>IF(C65&gt;200,"High",IF(C65&gt;100, "Medium","Low"))</f>
        <v>Medium</v>
      </c>
    </row>
    <row r="66" spans="1:13" x14ac:dyDescent="0.25">
      <c r="A66" s="3">
        <v>103</v>
      </c>
      <c r="B66" s="3" t="s">
        <v>8</v>
      </c>
      <c r="C66" s="3">
        <v>200</v>
      </c>
      <c r="D66" s="3">
        <v>200</v>
      </c>
      <c r="E66" s="3" t="s">
        <v>14</v>
      </c>
      <c r="F66" s="3" t="str">
        <f t="shared" si="17"/>
        <v>Yes</v>
      </c>
      <c r="G66" s="3" t="str">
        <f t="shared" ref="G66:G69" si="22">IF(AND(E66="North", C66&gt;200), "Eligible", "Not Eligible")</f>
        <v>Not Eligible</v>
      </c>
      <c r="H66" s="3">
        <f t="shared" si="18"/>
        <v>0.1</v>
      </c>
      <c r="I66" s="3">
        <f t="shared" si="19"/>
        <v>0.1</v>
      </c>
      <c r="J66" s="3">
        <f t="shared" si="20"/>
        <v>20</v>
      </c>
      <c r="K66" s="3" t="str">
        <f t="shared" si="21"/>
        <v>Excellent</v>
      </c>
      <c r="L66" s="3" t="str">
        <f t="shared" ref="L66:L69" si="23">IF(C66&gt;200,"High",IF(C66&gt;100, "Medium","Low"))</f>
        <v>Medium</v>
      </c>
    </row>
    <row r="67" spans="1:13" x14ac:dyDescent="0.25">
      <c r="A67" s="3">
        <v>104</v>
      </c>
      <c r="B67" s="3" t="s">
        <v>9</v>
      </c>
      <c r="C67" s="3">
        <v>90</v>
      </c>
      <c r="D67" s="3">
        <v>100</v>
      </c>
      <c r="E67" s="3" t="s">
        <v>15</v>
      </c>
      <c r="F67" s="3" t="str">
        <f t="shared" si="17"/>
        <v>No</v>
      </c>
      <c r="G67" s="3" t="str">
        <f t="shared" si="22"/>
        <v>Not Eligible</v>
      </c>
      <c r="H67" s="3">
        <f t="shared" si="18"/>
        <v>0.05</v>
      </c>
      <c r="I67" s="3">
        <f t="shared" si="19"/>
        <v>0.05</v>
      </c>
      <c r="J67" s="3">
        <f t="shared" si="20"/>
        <v>4.5</v>
      </c>
      <c r="K67" s="3" t="str">
        <f t="shared" si="21"/>
        <v>Needs Improvement</v>
      </c>
      <c r="L67" s="3" t="str">
        <f t="shared" si="23"/>
        <v>Low</v>
      </c>
    </row>
    <row r="68" spans="1:13" x14ac:dyDescent="0.25">
      <c r="A68" s="3">
        <v>105</v>
      </c>
      <c r="B68" s="3" t="s">
        <v>10</v>
      </c>
      <c r="C68" s="3">
        <v>220</v>
      </c>
      <c r="D68" s="3">
        <v>210</v>
      </c>
      <c r="E68" s="3" t="s">
        <v>12</v>
      </c>
      <c r="F68" s="3" t="str">
        <f t="shared" si="17"/>
        <v>Yes</v>
      </c>
      <c r="G68" s="3" t="str">
        <f t="shared" si="22"/>
        <v>Eligible</v>
      </c>
      <c r="H68" s="3">
        <f t="shared" si="18"/>
        <v>0.1</v>
      </c>
      <c r="I68" s="3">
        <f t="shared" si="19"/>
        <v>0.1</v>
      </c>
      <c r="J68" s="3">
        <f t="shared" si="20"/>
        <v>22</v>
      </c>
      <c r="K68" s="3" t="str">
        <f t="shared" si="21"/>
        <v>Excellent</v>
      </c>
      <c r="L68" s="3" t="str">
        <f t="shared" si="23"/>
        <v>High</v>
      </c>
    </row>
    <row r="69" spans="1:13" x14ac:dyDescent="0.25">
      <c r="A69" s="3">
        <v>106</v>
      </c>
      <c r="B69" s="3" t="s">
        <v>11</v>
      </c>
      <c r="C69" s="3">
        <v>130</v>
      </c>
      <c r="D69" s="3">
        <v>160</v>
      </c>
      <c r="E69" s="3" t="s">
        <v>13</v>
      </c>
      <c r="F69" s="3" t="str">
        <f t="shared" si="17"/>
        <v>No</v>
      </c>
      <c r="G69" s="3" t="str">
        <f t="shared" si="22"/>
        <v>Not Eligible</v>
      </c>
      <c r="H69" s="3">
        <f t="shared" si="18"/>
        <v>0.05</v>
      </c>
      <c r="I69" s="3">
        <f t="shared" si="19"/>
        <v>0.05</v>
      </c>
      <c r="J69" s="3">
        <f t="shared" si="20"/>
        <v>6.5</v>
      </c>
      <c r="K69" s="3" t="str">
        <f t="shared" si="21"/>
        <v>Needs Improvement</v>
      </c>
      <c r="L69" s="3" t="str">
        <f t="shared" si="23"/>
        <v>Medium</v>
      </c>
    </row>
    <row r="71" spans="1:13" x14ac:dyDescent="0.25">
      <c r="A71" s="2" t="s">
        <v>29</v>
      </c>
    </row>
    <row r="73" spans="1:13" x14ac:dyDescent="0.25">
      <c r="A73" s="4" t="s">
        <v>1</v>
      </c>
      <c r="B73" s="4" t="s">
        <v>2</v>
      </c>
      <c r="C73" s="4" t="s">
        <v>3</v>
      </c>
      <c r="D73" s="4" t="s">
        <v>4</v>
      </c>
      <c r="E73" s="4" t="s">
        <v>5</v>
      </c>
      <c r="F73" s="4" t="s">
        <v>18</v>
      </c>
      <c r="G73" s="4" t="s">
        <v>19</v>
      </c>
      <c r="H73" s="4" t="s">
        <v>20</v>
      </c>
      <c r="I73" s="4" t="s">
        <v>24</v>
      </c>
      <c r="J73" s="4" t="s">
        <v>23</v>
      </c>
      <c r="K73" s="4" t="s">
        <v>26</v>
      </c>
      <c r="L73" s="4" t="s">
        <v>28</v>
      </c>
      <c r="M73" s="4" t="s">
        <v>30</v>
      </c>
    </row>
    <row r="74" spans="1:13" x14ac:dyDescent="0.25">
      <c r="A74" s="3">
        <v>101</v>
      </c>
      <c r="B74" s="3" t="s">
        <v>6</v>
      </c>
      <c r="C74" s="3">
        <v>120</v>
      </c>
      <c r="D74" s="3">
        <v>150</v>
      </c>
      <c r="E74" s="3" t="s">
        <v>12</v>
      </c>
      <c r="F74" s="3" t="str">
        <f>IF(C74&gt;=D74, "Yes", "No")</f>
        <v>No</v>
      </c>
      <c r="G74" s="3" t="str">
        <f>IF(AND(E74="North", C74&gt;200), "Eligible", "Not Eligible")</f>
        <v>Not Eligible</v>
      </c>
      <c r="H74" s="3">
        <f>IF(C74&gt;=200,10%,IF(C74&gt;=150,7%,5%))</f>
        <v>0.05</v>
      </c>
      <c r="I74" s="3">
        <f>IF(C74&gt;=D74,10%,5%)</f>
        <v>0.05</v>
      </c>
      <c r="J74" s="3">
        <f>I74*C74</f>
        <v>6</v>
      </c>
      <c r="K74" s="3" t="str">
        <f>IF(C74&gt;=200,"Excellent",IF(C74&gt;=150,"Good", "Needs Improvement"))</f>
        <v>Needs Improvement</v>
      </c>
      <c r="L74" s="3" t="str">
        <f>IF(C74&gt;200,"High",IF(C74&gt;100, "Medium","Low"))</f>
        <v>Medium</v>
      </c>
      <c r="M74" s="3">
        <f>IF(AND(E74="North",C74&gt;=150), 500, 300)</f>
        <v>300</v>
      </c>
    </row>
    <row r="75" spans="1:13" x14ac:dyDescent="0.25">
      <c r="A75" s="3">
        <v>102</v>
      </c>
      <c r="B75" s="3" t="s">
        <v>7</v>
      </c>
      <c r="C75" s="3">
        <v>150</v>
      </c>
      <c r="D75" s="3">
        <v>140</v>
      </c>
      <c r="E75" s="3" t="s">
        <v>13</v>
      </c>
      <c r="F75" s="3" t="str">
        <f t="shared" ref="F75:F79" si="24">IF(C75&gt;=D75, "Yes", "No")</f>
        <v>Yes</v>
      </c>
      <c r="G75" s="3" t="str">
        <f>IF(AND(E75="North", C75&gt;200), "Eligible", "Not Eligible")</f>
        <v>Not Eligible</v>
      </c>
      <c r="H75" s="3">
        <f t="shared" ref="H75:H79" si="25">IF(C75&gt;=200,10%,IF(C75&gt;=150,7%,5%))</f>
        <v>7.0000000000000007E-2</v>
      </c>
      <c r="I75" s="3">
        <f t="shared" ref="I75:I79" si="26">IF(C75&gt;=D75,10%,5%)</f>
        <v>0.1</v>
      </c>
      <c r="J75" s="3">
        <f t="shared" ref="J75:J79" si="27">I75*C75</f>
        <v>15</v>
      </c>
      <c r="K75" s="3" t="str">
        <f t="shared" ref="K75:K79" si="28">IF(C75&gt;=200,"Excellent",IF(C75&gt;=150,"Good", "Needs Improvement"))</f>
        <v>Good</v>
      </c>
      <c r="L75" s="3" t="str">
        <f>IF(C75&gt;200,"High",IF(C75&gt;100, "Medium","Low"))</f>
        <v>Medium</v>
      </c>
      <c r="M75" s="3">
        <f t="shared" ref="M75:M79" si="29">IF(AND(E75="North",C75&gt;=150), 500, 300)</f>
        <v>300</v>
      </c>
    </row>
    <row r="76" spans="1:13" x14ac:dyDescent="0.25">
      <c r="A76" s="3">
        <v>103</v>
      </c>
      <c r="B76" s="3" t="s">
        <v>8</v>
      </c>
      <c r="C76" s="3">
        <v>200</v>
      </c>
      <c r="D76" s="3">
        <v>200</v>
      </c>
      <c r="E76" s="3" t="s">
        <v>14</v>
      </c>
      <c r="F76" s="3" t="str">
        <f t="shared" si="24"/>
        <v>Yes</v>
      </c>
      <c r="G76" s="3" t="str">
        <f t="shared" ref="G76:G79" si="30">IF(AND(E76="North", C76&gt;200), "Eligible", "Not Eligible")</f>
        <v>Not Eligible</v>
      </c>
      <c r="H76" s="3">
        <f t="shared" si="25"/>
        <v>0.1</v>
      </c>
      <c r="I76" s="3">
        <f t="shared" si="26"/>
        <v>0.1</v>
      </c>
      <c r="J76" s="3">
        <f t="shared" si="27"/>
        <v>20</v>
      </c>
      <c r="K76" s="3" t="str">
        <f t="shared" si="28"/>
        <v>Excellent</v>
      </c>
      <c r="L76" s="3" t="str">
        <f t="shared" ref="L76:L79" si="31">IF(C76&gt;200,"High",IF(C76&gt;100, "Medium","Low"))</f>
        <v>Medium</v>
      </c>
      <c r="M76" s="3">
        <f t="shared" si="29"/>
        <v>300</v>
      </c>
    </row>
    <row r="77" spans="1:13" x14ac:dyDescent="0.25">
      <c r="A77" s="3">
        <v>104</v>
      </c>
      <c r="B77" s="3" t="s">
        <v>9</v>
      </c>
      <c r="C77" s="3">
        <v>90</v>
      </c>
      <c r="D77" s="3">
        <v>100</v>
      </c>
      <c r="E77" s="3" t="s">
        <v>15</v>
      </c>
      <c r="F77" s="3" t="str">
        <f t="shared" si="24"/>
        <v>No</v>
      </c>
      <c r="G77" s="3" t="str">
        <f t="shared" si="30"/>
        <v>Not Eligible</v>
      </c>
      <c r="H77" s="3">
        <f t="shared" si="25"/>
        <v>0.05</v>
      </c>
      <c r="I77" s="3">
        <f t="shared" si="26"/>
        <v>0.05</v>
      </c>
      <c r="J77" s="3">
        <f t="shared" si="27"/>
        <v>4.5</v>
      </c>
      <c r="K77" s="3" t="str">
        <f t="shared" si="28"/>
        <v>Needs Improvement</v>
      </c>
      <c r="L77" s="3" t="str">
        <f t="shared" si="31"/>
        <v>Low</v>
      </c>
      <c r="M77" s="3">
        <f t="shared" si="29"/>
        <v>300</v>
      </c>
    </row>
    <row r="78" spans="1:13" x14ac:dyDescent="0.25">
      <c r="A78" s="3">
        <v>105</v>
      </c>
      <c r="B78" s="3" t="s">
        <v>10</v>
      </c>
      <c r="C78" s="3">
        <v>220</v>
      </c>
      <c r="D78" s="3">
        <v>210</v>
      </c>
      <c r="E78" s="3" t="s">
        <v>12</v>
      </c>
      <c r="F78" s="3" t="str">
        <f t="shared" si="24"/>
        <v>Yes</v>
      </c>
      <c r="G78" s="3" t="str">
        <f t="shared" si="30"/>
        <v>Eligible</v>
      </c>
      <c r="H78" s="3">
        <f t="shared" si="25"/>
        <v>0.1</v>
      </c>
      <c r="I78" s="3">
        <f t="shared" si="26"/>
        <v>0.1</v>
      </c>
      <c r="J78" s="3">
        <f t="shared" si="27"/>
        <v>22</v>
      </c>
      <c r="K78" s="3" t="str">
        <f t="shared" si="28"/>
        <v>Excellent</v>
      </c>
      <c r="L78" s="3" t="str">
        <f t="shared" si="31"/>
        <v>High</v>
      </c>
      <c r="M78" s="3">
        <f t="shared" si="29"/>
        <v>500</v>
      </c>
    </row>
    <row r="79" spans="1:13" x14ac:dyDescent="0.25">
      <c r="A79" s="3">
        <v>106</v>
      </c>
      <c r="B79" s="3" t="s">
        <v>11</v>
      </c>
      <c r="C79" s="3">
        <v>130</v>
      </c>
      <c r="D79" s="3">
        <v>160</v>
      </c>
      <c r="E79" s="3" t="s">
        <v>13</v>
      </c>
      <c r="F79" s="3" t="str">
        <f t="shared" si="24"/>
        <v>No</v>
      </c>
      <c r="G79" s="3" t="str">
        <f t="shared" si="30"/>
        <v>Not Eligible</v>
      </c>
      <c r="H79" s="3">
        <f t="shared" si="25"/>
        <v>0.05</v>
      </c>
      <c r="I79" s="3">
        <f t="shared" si="26"/>
        <v>0.05</v>
      </c>
      <c r="J79" s="3">
        <f t="shared" si="27"/>
        <v>6.5</v>
      </c>
      <c r="K79" s="3" t="str">
        <f t="shared" si="28"/>
        <v>Needs Improvement</v>
      </c>
      <c r="L79" s="3" t="str">
        <f t="shared" si="31"/>
        <v>Medium</v>
      </c>
      <c r="M79" s="3">
        <f t="shared" si="29"/>
        <v>300</v>
      </c>
    </row>
    <row r="81" spans="1:19" x14ac:dyDescent="0.25">
      <c r="A81" s="2" t="s">
        <v>31</v>
      </c>
    </row>
    <row r="83" spans="1:19" x14ac:dyDescent="0.25">
      <c r="A83" s="4" t="s">
        <v>1</v>
      </c>
      <c r="B83" s="4" t="s">
        <v>2</v>
      </c>
      <c r="C83" s="4" t="s">
        <v>3</v>
      </c>
      <c r="D83" s="4" t="s">
        <v>4</v>
      </c>
      <c r="E83" s="4" t="s">
        <v>5</v>
      </c>
      <c r="F83" s="4" t="s">
        <v>18</v>
      </c>
      <c r="G83" s="4" t="s">
        <v>19</v>
      </c>
      <c r="H83" s="4" t="s">
        <v>20</v>
      </c>
      <c r="I83" s="4" t="s">
        <v>24</v>
      </c>
      <c r="J83" s="4" t="s">
        <v>23</v>
      </c>
      <c r="K83" s="4" t="s">
        <v>26</v>
      </c>
      <c r="L83" s="4" t="s">
        <v>28</v>
      </c>
      <c r="M83" s="4" t="s">
        <v>30</v>
      </c>
      <c r="N83" s="4" t="s">
        <v>32</v>
      </c>
    </row>
    <row r="84" spans="1:19" x14ac:dyDescent="0.25">
      <c r="A84" s="3">
        <v>101</v>
      </c>
      <c r="B84" s="3" t="s">
        <v>6</v>
      </c>
      <c r="C84" s="3">
        <v>120</v>
      </c>
      <c r="D84" s="3">
        <v>150</v>
      </c>
      <c r="E84" s="3" t="s">
        <v>12</v>
      </c>
      <c r="F84" s="3" t="str">
        <f>IF(C84&gt;=D84, "Yes", "No")</f>
        <v>No</v>
      </c>
      <c r="G84" s="3" t="str">
        <f>IF(AND(E84="North", C84&gt;200), "Eligible", "Not Eligible")</f>
        <v>Not Eligible</v>
      </c>
      <c r="H84" s="3">
        <f>IF(C84&gt;=200,10%,IF(C84&gt;=150,7%,5%))</f>
        <v>0.05</v>
      </c>
      <c r="I84" s="3">
        <f>IF(C84&gt;=D84,10%,5%)</f>
        <v>0.05</v>
      </c>
      <c r="J84" s="3">
        <f>I84*C84</f>
        <v>6</v>
      </c>
      <c r="K84" s="3" t="str">
        <f>IF(C84&gt;=200,"Excellent",IF(C84&gt;=150,"Good", "Needs Improvement"))</f>
        <v>Needs Improvement</v>
      </c>
      <c r="L84" s="3" t="str">
        <f>IF(C84&gt;200,"High",IF(C84&gt;100, "Medium","Low"))</f>
        <v>Medium</v>
      </c>
      <c r="M84" s="3">
        <f>IF(AND(E84="North",C84&gt;=150), 500, 300)</f>
        <v>300</v>
      </c>
      <c r="N84" s="3" t="str">
        <f>IF(C84&gt;=PERCENTILE($C$84:$C$89, 0.75),"High Performer", "low performer")</f>
        <v>low performer</v>
      </c>
      <c r="R84" s="1"/>
    </row>
    <row r="85" spans="1:19" x14ac:dyDescent="0.25">
      <c r="A85" s="3">
        <v>102</v>
      </c>
      <c r="B85" s="3" t="s">
        <v>7</v>
      </c>
      <c r="C85" s="3">
        <v>150</v>
      </c>
      <c r="D85" s="3">
        <v>140</v>
      </c>
      <c r="E85" s="3" t="s">
        <v>13</v>
      </c>
      <c r="F85" s="3" t="str">
        <f t="shared" ref="F85:F89" si="32">IF(C85&gt;=D85, "Yes", "No")</f>
        <v>Yes</v>
      </c>
      <c r="G85" s="3" t="str">
        <f>IF(AND(E85="North", C85&gt;200), "Eligible", "Not Eligible")</f>
        <v>Not Eligible</v>
      </c>
      <c r="H85" s="3">
        <f t="shared" ref="H85:H89" si="33">IF(C85&gt;=200,10%,IF(C85&gt;=150,7%,5%))</f>
        <v>7.0000000000000007E-2</v>
      </c>
      <c r="I85" s="3">
        <f t="shared" ref="I85:I89" si="34">IF(C85&gt;=D85,10%,5%)</f>
        <v>0.1</v>
      </c>
      <c r="J85" s="3">
        <f t="shared" ref="J85:J89" si="35">I85*C85</f>
        <v>15</v>
      </c>
      <c r="K85" s="3" t="str">
        <f t="shared" ref="K85:K89" si="36">IF(C85&gt;=200,"Excellent",IF(C85&gt;=150,"Good", "Needs Improvement"))</f>
        <v>Good</v>
      </c>
      <c r="L85" s="3" t="str">
        <f>IF(C85&gt;200,"High",IF(C85&gt;100, "Medium","Low"))</f>
        <v>Medium</v>
      </c>
      <c r="M85" s="3">
        <f t="shared" ref="M85:M89" si="37">IF(AND(E85="North",C85&gt;=150), 500, 300)</f>
        <v>300</v>
      </c>
      <c r="N85" s="3" t="str">
        <f t="shared" ref="N85:N89" si="38">IF(C85&gt;=PERCENTILE($C$84:$C$89, 0.75),"High Performer", "low performer")</f>
        <v>low performer</v>
      </c>
      <c r="R85" s="5"/>
      <c r="S85" s="6"/>
    </row>
    <row r="86" spans="1:19" x14ac:dyDescent="0.25">
      <c r="A86" s="3">
        <v>103</v>
      </c>
      <c r="B86" s="3" t="s">
        <v>8</v>
      </c>
      <c r="C86" s="3">
        <v>200</v>
      </c>
      <c r="D86" s="3">
        <v>200</v>
      </c>
      <c r="E86" s="3" t="s">
        <v>14</v>
      </c>
      <c r="F86" s="3" t="str">
        <f t="shared" si="32"/>
        <v>Yes</v>
      </c>
      <c r="G86" s="3" t="str">
        <f t="shared" ref="G86:G89" si="39">IF(AND(E86="North", C86&gt;200), "Eligible", "Not Eligible")</f>
        <v>Not Eligible</v>
      </c>
      <c r="H86" s="3">
        <f t="shared" si="33"/>
        <v>0.1</v>
      </c>
      <c r="I86" s="3">
        <f t="shared" si="34"/>
        <v>0.1</v>
      </c>
      <c r="J86" s="3">
        <f t="shared" si="35"/>
        <v>20</v>
      </c>
      <c r="K86" s="3" t="str">
        <f t="shared" si="36"/>
        <v>Excellent</v>
      </c>
      <c r="L86" s="3" t="str">
        <f t="shared" ref="L86:L89" si="40">IF(C86&gt;200,"High",IF(C86&gt;100, "Medium","Low"))</f>
        <v>Medium</v>
      </c>
      <c r="M86" s="3">
        <f t="shared" si="37"/>
        <v>300</v>
      </c>
      <c r="N86" s="3" t="str">
        <f t="shared" si="38"/>
        <v>High Performer</v>
      </c>
    </row>
    <row r="87" spans="1:19" x14ac:dyDescent="0.25">
      <c r="A87" s="3">
        <v>104</v>
      </c>
      <c r="B87" s="3" t="s">
        <v>9</v>
      </c>
      <c r="C87" s="3">
        <v>90</v>
      </c>
      <c r="D87" s="3">
        <v>100</v>
      </c>
      <c r="E87" s="3" t="s">
        <v>15</v>
      </c>
      <c r="F87" s="3" t="str">
        <f t="shared" si="32"/>
        <v>No</v>
      </c>
      <c r="G87" s="3" t="str">
        <f t="shared" si="39"/>
        <v>Not Eligible</v>
      </c>
      <c r="H87" s="3">
        <f t="shared" si="33"/>
        <v>0.05</v>
      </c>
      <c r="I87" s="3">
        <f t="shared" si="34"/>
        <v>0.05</v>
      </c>
      <c r="J87" s="3">
        <f t="shared" si="35"/>
        <v>4.5</v>
      </c>
      <c r="K87" s="3" t="str">
        <f t="shared" si="36"/>
        <v>Needs Improvement</v>
      </c>
      <c r="L87" s="3" t="str">
        <f t="shared" si="40"/>
        <v>Low</v>
      </c>
      <c r="M87" s="3">
        <f t="shared" si="37"/>
        <v>300</v>
      </c>
      <c r="N87" s="3" t="str">
        <f t="shared" si="38"/>
        <v>low performer</v>
      </c>
    </row>
    <row r="88" spans="1:19" x14ac:dyDescent="0.25">
      <c r="A88" s="3">
        <v>105</v>
      </c>
      <c r="B88" s="3" t="s">
        <v>10</v>
      </c>
      <c r="C88" s="3">
        <v>220</v>
      </c>
      <c r="D88" s="3">
        <v>210</v>
      </c>
      <c r="E88" s="3" t="s">
        <v>12</v>
      </c>
      <c r="F88" s="3" t="str">
        <f t="shared" si="32"/>
        <v>Yes</v>
      </c>
      <c r="G88" s="3" t="str">
        <f t="shared" si="39"/>
        <v>Eligible</v>
      </c>
      <c r="H88" s="3">
        <f t="shared" si="33"/>
        <v>0.1</v>
      </c>
      <c r="I88" s="3">
        <f t="shared" si="34"/>
        <v>0.1</v>
      </c>
      <c r="J88" s="3">
        <f t="shared" si="35"/>
        <v>22</v>
      </c>
      <c r="K88" s="3" t="str">
        <f t="shared" si="36"/>
        <v>Excellent</v>
      </c>
      <c r="L88" s="3" t="str">
        <f t="shared" si="40"/>
        <v>High</v>
      </c>
      <c r="M88" s="3">
        <f t="shared" si="37"/>
        <v>500</v>
      </c>
      <c r="N88" s="3" t="str">
        <f t="shared" si="38"/>
        <v>High Performer</v>
      </c>
    </row>
    <row r="89" spans="1:19" x14ac:dyDescent="0.25">
      <c r="A89" s="3">
        <v>106</v>
      </c>
      <c r="B89" s="3" t="s">
        <v>11</v>
      </c>
      <c r="C89" s="3">
        <v>130</v>
      </c>
      <c r="D89" s="3">
        <v>160</v>
      </c>
      <c r="E89" s="3" t="s">
        <v>13</v>
      </c>
      <c r="F89" s="3" t="str">
        <f t="shared" si="32"/>
        <v>No</v>
      </c>
      <c r="G89" s="3" t="str">
        <f t="shared" si="39"/>
        <v>Not Eligible</v>
      </c>
      <c r="H89" s="3">
        <f t="shared" si="33"/>
        <v>0.05</v>
      </c>
      <c r="I89" s="3">
        <f t="shared" si="34"/>
        <v>0.05</v>
      </c>
      <c r="J89" s="3">
        <f t="shared" si="35"/>
        <v>6.5</v>
      </c>
      <c r="K89" s="3" t="str">
        <f t="shared" si="36"/>
        <v>Needs Improvement</v>
      </c>
      <c r="L89" s="3" t="str">
        <f t="shared" si="40"/>
        <v>Medium</v>
      </c>
      <c r="M89" s="3">
        <f t="shared" si="37"/>
        <v>300</v>
      </c>
      <c r="N89" s="3" t="str">
        <f t="shared" si="38"/>
        <v>low performer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𝘼 𝙨 𝙝 𝙞 𝙦 𝙪 𝙚</dc:creator>
  <cp:lastModifiedBy>𝘼 𝙨 𝙝 𝙞 𝙦 𝙪 𝙚</cp:lastModifiedBy>
  <dcterms:created xsi:type="dcterms:W3CDTF">2026-02-24T06:06:35Z</dcterms:created>
  <dcterms:modified xsi:type="dcterms:W3CDTF">2026-02-25T16:52:58Z</dcterms:modified>
</cp:coreProperties>
</file>