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udip\Lab Assignments\"/>
    </mc:Choice>
  </mc:AlternateContent>
  <xr:revisionPtr revIDLastSave="0" documentId="13_ncr:1_{165BFB8E-1108-4E4C-85F1-C94379ABFC0A}" xr6:coauthVersionLast="47" xr6:coauthVersionMax="47" xr10:uidLastSave="{00000000-0000-0000-0000-000000000000}"/>
  <bookViews>
    <workbookView xWindow="-120" yWindow="-120" windowWidth="29040" windowHeight="16440" xr2:uid="{42047967-E993-4F01-AFF1-E83C656DBC7E}"/>
  </bookViews>
  <sheets>
    <sheet name="Products" sheetId="1" r:id="rId1"/>
    <sheet name="Orders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9" i="2" l="1"/>
  <c r="C59" i="2" s="1"/>
  <c r="B58" i="2"/>
  <c r="C58" i="2" s="1"/>
  <c r="B57" i="2"/>
  <c r="C57" i="2" s="1"/>
  <c r="B56" i="2"/>
  <c r="C56" i="2" s="1"/>
  <c r="B55" i="2"/>
  <c r="C55" i="2" s="1"/>
  <c r="B54" i="2"/>
  <c r="C54" i="2" s="1"/>
  <c r="B49" i="2"/>
  <c r="B48" i="2"/>
  <c r="B47" i="2"/>
  <c r="B46" i="2"/>
  <c r="B45" i="2"/>
  <c r="B44" i="2"/>
  <c r="B43" i="2"/>
  <c r="D38" i="2"/>
  <c r="E38" i="2" s="1"/>
  <c r="D37" i="2"/>
  <c r="E37" i="2" s="1"/>
  <c r="D36" i="2"/>
  <c r="E36" i="2" s="1"/>
  <c r="D35" i="2"/>
  <c r="E35" i="2" s="1"/>
  <c r="D34" i="2"/>
  <c r="E34" i="2" s="1"/>
  <c r="D33" i="2"/>
  <c r="E33" i="2" s="1"/>
  <c r="D28" i="2"/>
  <c r="E28" i="2" s="1"/>
  <c r="D27" i="2"/>
  <c r="E27" i="2" s="1"/>
  <c r="D26" i="2"/>
  <c r="E26" i="2" s="1"/>
  <c r="D25" i="2"/>
  <c r="E25" i="2" s="1"/>
  <c r="D24" i="2"/>
  <c r="E24" i="2" s="1"/>
  <c r="D23" i="2"/>
  <c r="E23" i="2" s="1"/>
  <c r="B18" i="2"/>
  <c r="B17" i="2"/>
  <c r="B16" i="2"/>
  <c r="B15" i="2"/>
  <c r="B14" i="2"/>
  <c r="B13" i="2"/>
  <c r="C31" i="1"/>
  <c r="D31" i="1" s="1"/>
  <c r="C30" i="1"/>
  <c r="D30" i="1" s="1"/>
  <c r="C29" i="1"/>
  <c r="D29" i="1" s="1"/>
  <c r="C28" i="1"/>
  <c r="D28" i="1" s="1"/>
  <c r="C27" i="1"/>
  <c r="D27" i="1" s="1"/>
  <c r="C26" i="1"/>
  <c r="D26" i="1" s="1"/>
  <c r="B20" i="1"/>
  <c r="B19" i="1"/>
  <c r="B18" i="1"/>
  <c r="B17" i="1"/>
  <c r="B16" i="1"/>
  <c r="B15" i="1"/>
  <c r="B14" i="1"/>
  <c r="I33" i="2" l="1"/>
</calcChain>
</file>

<file path=xl/sharedStrings.xml><?xml version="1.0" encoding="utf-8"?>
<sst xmlns="http://schemas.openxmlformats.org/spreadsheetml/2006/main" count="62" uniqueCount="33">
  <si>
    <t xml:space="preserve">ProductID </t>
  </si>
  <si>
    <t>Product</t>
  </si>
  <si>
    <t>Price</t>
  </si>
  <si>
    <t>Product A</t>
  </si>
  <si>
    <t>Product B</t>
  </si>
  <si>
    <t>Product C</t>
  </si>
  <si>
    <t>Product D</t>
  </si>
  <si>
    <t>Product E</t>
  </si>
  <si>
    <t>Product F</t>
  </si>
  <si>
    <t>3. Use VLOOKUP to check if there are any ProductIDs in the Orders worksheet that do not exist in the Products worksheet.</t>
  </si>
  <si>
    <t>ProductID</t>
  </si>
  <si>
    <t>Result</t>
  </si>
  <si>
    <t xml:space="preserve"> </t>
  </si>
  <si>
    <t>107 is the example , if orders product ID and Products Product ID doesnot match in that case, we can see "Not Found"</t>
  </si>
  <si>
    <t>4. Assume a discount of 10% is given on all products. Use VLOOKUP to find the original price and then calculate the discounted price.</t>
  </si>
  <si>
    <t>Discounted Price</t>
  </si>
  <si>
    <t>OrderID</t>
  </si>
  <si>
    <t>Quantity</t>
  </si>
  <si>
    <t>TotalPrice</t>
  </si>
  <si>
    <t>1. Use VLOOKUP to find the product names for each ProductID in the Orders worksheet.</t>
  </si>
  <si>
    <t>Product Names</t>
  </si>
  <si>
    <t>2. Use VLOOKUP to find the price for each ProductID in the Orders worksheet, then calculate the TotalPrice by multiplying the Quantity by the Product Price.</t>
  </si>
  <si>
    <t>5. Use VLOOKUP to find the price for each ProductID and then calculate the order value. Find the maximum order value from the list.</t>
  </si>
  <si>
    <t>Order Value</t>
  </si>
  <si>
    <t>Maximum Order Value</t>
  </si>
  <si>
    <t>6. Use VLOOKUP to find out which products from the Products worksheet have not been ordered.</t>
  </si>
  <si>
    <t>Ordered</t>
  </si>
  <si>
    <t>7. Use VLOOKUP to find the Product name and summarize the total quantity sold for each product.</t>
  </si>
  <si>
    <t>Product Name</t>
  </si>
  <si>
    <t>Total Quantity Sold</t>
  </si>
  <si>
    <t>Worksheet 1: Products</t>
  </si>
  <si>
    <t>Worksheet 2: Orders</t>
  </si>
  <si>
    <t>VLookUp Exercises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</si>
</sst>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CE3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3">
    <xf numFmtId="0" fontId="0" fillId="0" borderId="0" xfId="0"/>
    <xf numFmtId="0" fontId="2" fillId="3" borderId="1" xfId="0" applyFont="1" applyFill="1" applyBorder="1"/>
    <xf numFmtId="0" fontId="3" fillId="2" borderId="1" xfId="1" applyFont="1" applyBorder="1"/>
    <xf numFmtId="0" fontId="4" fillId="0" borderId="0" xfId="0" applyFont="1" applyAlignment="1">
      <alignment horizontal="center"/>
    </xf>
    <xf numFmtId="0" fontId="5" fillId="0" borderId="0" xfId="0" applyFont="1"/>
    <xf numFmtId="0" fontId="2" fillId="0" borderId="0" xfId="0" applyFont="1"/>
    <xf numFmtId="0" fontId="3" fillId="4" borderId="1" xfId="1" applyFont="1" applyFill="1" applyBorder="1"/>
    <xf numFmtId="0" fontId="3" fillId="0" borderId="0" xfId="1" applyFont="1" applyFill="1" applyBorder="1"/>
    <xf numFmtId="0" fontId="2" fillId="5" borderId="1" xfId="0" applyFont="1" applyFill="1" applyBorder="1"/>
    <xf numFmtId="0" fontId="2" fillId="5" borderId="1" xfId="0" applyFont="1" applyFill="1" applyBorder="1" applyAlignment="1">
      <alignment horizontal="center"/>
    </xf>
    <xf numFmtId="0" fontId="5" fillId="4" borderId="1" xfId="0" applyFont="1" applyFill="1" applyBorder="1"/>
    <xf numFmtId="0" fontId="6" fillId="0" borderId="0" xfId="0" applyFont="1"/>
    <xf numFmtId="0" fontId="2" fillId="5" borderId="1" xfId="0" applyFont="1" applyFill="1" applyBorder="1" applyAlignment="1">
      <alignment horizontal="center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Anudip\Lab%20Assignments\Ashique_Lab_Assignment5_VLookup_HLookup.xlsx" TargetMode="External"/><Relationship Id="rId1" Type="http://schemas.openxmlformats.org/officeDocument/2006/relationships/externalLinkPath" Target="Ashique_Lab_Assignment5_VLookup_HLooku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DUCTS(VLookup)"/>
      <sheetName val="ORDERS(VLookup)"/>
      <sheetName val="HLookup"/>
      <sheetName val="Advanced VLookup(Products)"/>
      <sheetName val="Advanced VLookup(Orders)"/>
      <sheetName val="Advanced HLookup"/>
    </sheetNames>
    <sheetDataSet>
      <sheetData sheetId="0">
        <row r="1">
          <cell r="A1" t="str">
            <v xml:space="preserve">ProductID </v>
          </cell>
          <cell r="B1" t="str">
            <v>Product</v>
          </cell>
          <cell r="C1" t="str">
            <v>Price</v>
          </cell>
        </row>
        <row r="2">
          <cell r="A2">
            <v>101</v>
          </cell>
          <cell r="B2" t="str">
            <v>Product A</v>
          </cell>
          <cell r="C2">
            <v>120</v>
          </cell>
        </row>
        <row r="3">
          <cell r="A3">
            <v>102</v>
          </cell>
          <cell r="B3" t="str">
            <v>Product B</v>
          </cell>
          <cell r="C3">
            <v>150</v>
          </cell>
        </row>
        <row r="4">
          <cell r="A4">
            <v>103</v>
          </cell>
          <cell r="B4" t="str">
            <v>Product C</v>
          </cell>
          <cell r="C4">
            <v>200</v>
          </cell>
        </row>
        <row r="5">
          <cell r="A5">
            <v>104</v>
          </cell>
          <cell r="B5" t="str">
            <v>Product D</v>
          </cell>
          <cell r="C5">
            <v>90</v>
          </cell>
        </row>
        <row r="6">
          <cell r="A6">
            <v>105</v>
          </cell>
          <cell r="B6" t="str">
            <v>Product E</v>
          </cell>
          <cell r="C6">
            <v>220</v>
          </cell>
        </row>
        <row r="7">
          <cell r="A7">
            <v>106</v>
          </cell>
          <cell r="B7" t="str">
            <v>Product F</v>
          </cell>
          <cell r="C7">
            <v>130</v>
          </cell>
        </row>
        <row r="10">
          <cell r="A10" t="str">
            <v>3. Use VLOOKUP to check if there are any ProductIDs in the Orders worksheet that do not exist in the Products worksheet.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220E2-E9F8-4195-AAD8-572D71AE1B67}">
  <dimension ref="A1:O31"/>
  <sheetViews>
    <sheetView tabSelected="1" workbookViewId="0">
      <selection activeCell="Q21" sqref="Q21"/>
    </sheetView>
  </sheetViews>
  <sheetFormatPr defaultRowHeight="15" x14ac:dyDescent="0.25"/>
  <cols>
    <col min="1" max="1" width="9.42578125" customWidth="1"/>
    <col min="2" max="2" width="10.42578125" customWidth="1"/>
    <col min="4" max="4" width="15.42578125" customWidth="1"/>
  </cols>
  <sheetData>
    <row r="1" spans="1:15" x14ac:dyDescent="0.25">
      <c r="A1" s="11" t="s">
        <v>30</v>
      </c>
      <c r="O1" s="11" t="s">
        <v>32</v>
      </c>
    </row>
    <row r="2" spans="1:15" x14ac:dyDescent="0.25">
      <c r="A2" s="1" t="s">
        <v>0</v>
      </c>
      <c r="B2" s="1" t="s">
        <v>1</v>
      </c>
      <c r="C2" s="1" t="s">
        <v>2</v>
      </c>
      <c r="L2" s="4" t="s">
        <v>19</v>
      </c>
    </row>
    <row r="3" spans="1:15" ht="18.75" customHeight="1" x14ac:dyDescent="0.4">
      <c r="A3" s="2">
        <v>101</v>
      </c>
      <c r="B3" s="2" t="s">
        <v>3</v>
      </c>
      <c r="C3" s="2">
        <v>120</v>
      </c>
      <c r="G3" s="4"/>
      <c r="L3" s="4" t="s">
        <v>21</v>
      </c>
      <c r="N3" s="3"/>
      <c r="O3" s="3"/>
    </row>
    <row r="4" spans="1:15" ht="16.5" customHeight="1" x14ac:dyDescent="0.4">
      <c r="A4" s="2">
        <v>102</v>
      </c>
      <c r="B4" s="2" t="s">
        <v>4</v>
      </c>
      <c r="C4" s="2">
        <v>150</v>
      </c>
      <c r="L4" s="4" t="s">
        <v>9</v>
      </c>
      <c r="N4" s="3"/>
      <c r="O4" s="3"/>
    </row>
    <row r="5" spans="1:15" x14ac:dyDescent="0.25">
      <c r="A5" s="2">
        <v>103</v>
      </c>
      <c r="B5" s="2" t="s">
        <v>5</v>
      </c>
      <c r="C5" s="2">
        <v>200</v>
      </c>
      <c r="L5" s="4" t="s">
        <v>14</v>
      </c>
    </row>
    <row r="6" spans="1:15" x14ac:dyDescent="0.25">
      <c r="A6" s="2">
        <v>104</v>
      </c>
      <c r="B6" s="2" t="s">
        <v>6</v>
      </c>
      <c r="C6" s="2">
        <v>90</v>
      </c>
      <c r="L6" s="4" t="s">
        <v>22</v>
      </c>
    </row>
    <row r="7" spans="1:15" x14ac:dyDescent="0.25">
      <c r="A7" s="2">
        <v>105</v>
      </c>
      <c r="B7" s="2" t="s">
        <v>7</v>
      </c>
      <c r="C7" s="2">
        <v>220</v>
      </c>
      <c r="L7" s="4" t="s">
        <v>25</v>
      </c>
    </row>
    <row r="8" spans="1:15" x14ac:dyDescent="0.25">
      <c r="A8" s="2">
        <v>106</v>
      </c>
      <c r="B8" s="2" t="s">
        <v>8</v>
      </c>
      <c r="C8" s="2">
        <v>130</v>
      </c>
      <c r="L8" s="4" t="s">
        <v>27</v>
      </c>
    </row>
    <row r="11" spans="1:15" x14ac:dyDescent="0.25">
      <c r="A11" s="4" t="s">
        <v>9</v>
      </c>
    </row>
    <row r="13" spans="1:15" x14ac:dyDescent="0.25">
      <c r="A13" s="1" t="s">
        <v>10</v>
      </c>
      <c r="B13" s="1" t="s">
        <v>11</v>
      </c>
      <c r="C13" s="5"/>
    </row>
    <row r="14" spans="1:15" x14ac:dyDescent="0.25">
      <c r="A14" s="2">
        <v>101</v>
      </c>
      <c r="B14" s="6" t="str">
        <f>IF(ISNA(VLOOKUP(A14,$A$2:$C$8,1,0)),"Not Found","Found")</f>
        <v>Found</v>
      </c>
      <c r="C14" s="7"/>
    </row>
    <row r="15" spans="1:15" x14ac:dyDescent="0.25">
      <c r="A15" s="2">
        <v>103</v>
      </c>
      <c r="B15" s="6" t="str">
        <f t="shared" ref="B15:B20" si="0">IF(ISNA(VLOOKUP(A15,$A$2:$C$8,1,0)),"Not Found","Found")</f>
        <v>Found</v>
      </c>
      <c r="C15" s="7"/>
    </row>
    <row r="16" spans="1:15" x14ac:dyDescent="0.25">
      <c r="A16" s="2">
        <v>105</v>
      </c>
      <c r="B16" s="6" t="str">
        <f t="shared" si="0"/>
        <v>Found</v>
      </c>
      <c r="C16" s="7"/>
    </row>
    <row r="17" spans="1:4" x14ac:dyDescent="0.25">
      <c r="A17" s="2">
        <v>106</v>
      </c>
      <c r="B17" s="6" t="str">
        <f t="shared" si="0"/>
        <v>Found</v>
      </c>
      <c r="C17" s="7"/>
    </row>
    <row r="18" spans="1:4" x14ac:dyDescent="0.25">
      <c r="A18" s="2">
        <v>102</v>
      </c>
      <c r="B18" s="6" t="str">
        <f t="shared" si="0"/>
        <v>Found</v>
      </c>
      <c r="C18" s="7"/>
    </row>
    <row r="19" spans="1:4" x14ac:dyDescent="0.25">
      <c r="A19" s="2">
        <v>104</v>
      </c>
      <c r="B19" s="6" t="str">
        <f t="shared" si="0"/>
        <v>Found</v>
      </c>
      <c r="C19" s="7"/>
    </row>
    <row r="20" spans="1:4" x14ac:dyDescent="0.25">
      <c r="A20" s="2">
        <v>107</v>
      </c>
      <c r="B20" s="6" t="str">
        <f t="shared" si="0"/>
        <v>Not Found</v>
      </c>
      <c r="C20" t="s">
        <v>12</v>
      </c>
      <c r="D20" s="5" t="s">
        <v>13</v>
      </c>
    </row>
    <row r="23" spans="1:4" x14ac:dyDescent="0.25">
      <c r="A23" s="4" t="s">
        <v>14</v>
      </c>
    </row>
    <row r="25" spans="1:4" x14ac:dyDescent="0.25">
      <c r="A25" s="8" t="s">
        <v>0</v>
      </c>
      <c r="B25" s="8" t="s">
        <v>1</v>
      </c>
      <c r="C25" s="8" t="s">
        <v>2</v>
      </c>
      <c r="D25" s="8" t="s">
        <v>15</v>
      </c>
    </row>
    <row r="26" spans="1:4" x14ac:dyDescent="0.25">
      <c r="A26" s="2">
        <v>101</v>
      </c>
      <c r="B26" s="2" t="s">
        <v>3</v>
      </c>
      <c r="C26" s="6">
        <f t="shared" ref="C26:C31" si="1">VLOOKUP(A26,$A$2:$C$8,3,0)</f>
        <v>120</v>
      </c>
      <c r="D26" s="6">
        <f>C26*0.9</f>
        <v>108</v>
      </c>
    </row>
    <row r="27" spans="1:4" x14ac:dyDescent="0.25">
      <c r="A27" s="2">
        <v>102</v>
      </c>
      <c r="B27" s="2" t="s">
        <v>4</v>
      </c>
      <c r="C27" s="6">
        <f t="shared" si="1"/>
        <v>150</v>
      </c>
      <c r="D27" s="6">
        <f t="shared" ref="D27:D31" si="2">C27*0.9</f>
        <v>135</v>
      </c>
    </row>
    <row r="28" spans="1:4" x14ac:dyDescent="0.25">
      <c r="A28" s="2">
        <v>103</v>
      </c>
      <c r="B28" s="2" t="s">
        <v>5</v>
      </c>
      <c r="C28" s="6">
        <f t="shared" si="1"/>
        <v>200</v>
      </c>
      <c r="D28" s="6">
        <f t="shared" si="2"/>
        <v>180</v>
      </c>
    </row>
    <row r="29" spans="1:4" x14ac:dyDescent="0.25">
      <c r="A29" s="2">
        <v>104</v>
      </c>
      <c r="B29" s="2" t="s">
        <v>6</v>
      </c>
      <c r="C29" s="6">
        <f t="shared" si="1"/>
        <v>90</v>
      </c>
      <c r="D29" s="6">
        <f t="shared" si="2"/>
        <v>81</v>
      </c>
    </row>
    <row r="30" spans="1:4" x14ac:dyDescent="0.25">
      <c r="A30" s="2">
        <v>105</v>
      </c>
      <c r="B30" s="2" t="s">
        <v>7</v>
      </c>
      <c r="C30" s="6">
        <f t="shared" si="1"/>
        <v>220</v>
      </c>
      <c r="D30" s="6">
        <f t="shared" si="2"/>
        <v>198</v>
      </c>
    </row>
    <row r="31" spans="1:4" x14ac:dyDescent="0.25">
      <c r="A31" s="2">
        <v>106</v>
      </c>
      <c r="B31" s="2" t="s">
        <v>8</v>
      </c>
      <c r="C31" s="6">
        <f t="shared" si="1"/>
        <v>130</v>
      </c>
      <c r="D31" s="6">
        <f t="shared" si="2"/>
        <v>117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49D0C-02C7-4014-AED4-BB60DDC53B2E}">
  <dimension ref="A1:I59"/>
  <sheetViews>
    <sheetView workbookViewId="0">
      <selection activeCell="B14" sqref="B14"/>
    </sheetView>
  </sheetViews>
  <sheetFormatPr defaultRowHeight="15" x14ac:dyDescent="0.25"/>
  <cols>
    <col min="2" max="2" width="14.5703125" bestFit="1" customWidth="1"/>
    <col min="3" max="3" width="18.140625" bestFit="1" customWidth="1"/>
    <col min="5" max="5" width="11.7109375" bestFit="1" customWidth="1"/>
    <col min="8" max="8" width="11.85546875" customWidth="1"/>
  </cols>
  <sheetData>
    <row r="1" spans="1:4" x14ac:dyDescent="0.25">
      <c r="B1" s="4" t="s">
        <v>31</v>
      </c>
    </row>
    <row r="2" spans="1:4" x14ac:dyDescent="0.25">
      <c r="A2" s="8" t="s">
        <v>16</v>
      </c>
      <c r="B2" s="8" t="s">
        <v>10</v>
      </c>
      <c r="C2" s="8" t="s">
        <v>17</v>
      </c>
      <c r="D2" s="8" t="s">
        <v>18</v>
      </c>
    </row>
    <row r="3" spans="1:4" x14ac:dyDescent="0.25">
      <c r="A3" s="2">
        <v>1</v>
      </c>
      <c r="B3" s="2">
        <v>101</v>
      </c>
      <c r="C3" s="2">
        <v>2</v>
      </c>
      <c r="D3" s="2"/>
    </row>
    <row r="4" spans="1:4" x14ac:dyDescent="0.25">
      <c r="A4" s="2">
        <v>2</v>
      </c>
      <c r="B4" s="2">
        <v>103</v>
      </c>
      <c r="C4" s="2">
        <v>1</v>
      </c>
      <c r="D4" s="2"/>
    </row>
    <row r="5" spans="1:4" x14ac:dyDescent="0.25">
      <c r="A5" s="2">
        <v>3</v>
      </c>
      <c r="B5" s="2">
        <v>105</v>
      </c>
      <c r="C5" s="2">
        <v>4</v>
      </c>
      <c r="D5" s="2"/>
    </row>
    <row r="6" spans="1:4" x14ac:dyDescent="0.25">
      <c r="A6" s="2">
        <v>4</v>
      </c>
      <c r="B6" s="2">
        <v>106</v>
      </c>
      <c r="C6" s="2">
        <v>3</v>
      </c>
      <c r="D6" s="2"/>
    </row>
    <row r="7" spans="1:4" x14ac:dyDescent="0.25">
      <c r="A7" s="2">
        <v>5</v>
      </c>
      <c r="B7" s="2">
        <v>102</v>
      </c>
      <c r="C7" s="2">
        <v>5</v>
      </c>
      <c r="D7" s="2"/>
    </row>
    <row r="8" spans="1:4" x14ac:dyDescent="0.25">
      <c r="A8" s="2">
        <v>6</v>
      </c>
      <c r="B8" s="2">
        <v>104</v>
      </c>
      <c r="C8" s="2">
        <v>6</v>
      </c>
      <c r="D8" s="2"/>
    </row>
    <row r="10" spans="1:4" x14ac:dyDescent="0.25">
      <c r="A10" s="4" t="s">
        <v>19</v>
      </c>
    </row>
    <row r="12" spans="1:4" x14ac:dyDescent="0.25">
      <c r="A12" s="8" t="s">
        <v>10</v>
      </c>
      <c r="B12" s="8" t="s">
        <v>20</v>
      </c>
    </row>
    <row r="13" spans="1:4" x14ac:dyDescent="0.25">
      <c r="A13" s="2">
        <v>101</v>
      </c>
      <c r="B13" s="6" t="str">
        <f>VLOOKUP(A13,'[1]PRODUCTS(VLookup)'!$A$1:$B$7,2,0)</f>
        <v>Product A</v>
      </c>
    </row>
    <row r="14" spans="1:4" x14ac:dyDescent="0.25">
      <c r="A14" s="2">
        <v>103</v>
      </c>
      <c r="B14" s="6" t="str">
        <f>VLOOKUP(A14,'[1]PRODUCTS(VLookup)'!$A$1:$B$7,2,0)</f>
        <v>Product C</v>
      </c>
    </row>
    <row r="15" spans="1:4" x14ac:dyDescent="0.25">
      <c r="A15" s="2">
        <v>105</v>
      </c>
      <c r="B15" s="6" t="str">
        <f>VLOOKUP(A15,'[1]PRODUCTS(VLookup)'!$A$1:$B$7,2,0)</f>
        <v>Product E</v>
      </c>
    </row>
    <row r="16" spans="1:4" x14ac:dyDescent="0.25">
      <c r="A16" s="2">
        <v>106</v>
      </c>
      <c r="B16" s="6" t="str">
        <f>VLOOKUP(A16,'[1]PRODUCTS(VLookup)'!$A$1:$B$7,2,0)</f>
        <v>Product F</v>
      </c>
    </row>
    <row r="17" spans="1:5" x14ac:dyDescent="0.25">
      <c r="A17" s="2">
        <v>102</v>
      </c>
      <c r="B17" s="6" t="str">
        <f>VLOOKUP(A17,'[1]PRODUCTS(VLookup)'!$A$1:$B$7,2,0)</f>
        <v>Product B</v>
      </c>
    </row>
    <row r="18" spans="1:5" x14ac:dyDescent="0.25">
      <c r="A18" s="2">
        <v>104</v>
      </c>
      <c r="B18" s="6" t="str">
        <f>VLOOKUP(A18,'[1]PRODUCTS(VLookup)'!$A$1:$B$7,2,0)</f>
        <v>Product D</v>
      </c>
    </row>
    <row r="20" spans="1:5" x14ac:dyDescent="0.25">
      <c r="A20" s="4" t="s">
        <v>21</v>
      </c>
    </row>
    <row r="22" spans="1:5" x14ac:dyDescent="0.25">
      <c r="A22" s="8" t="s">
        <v>16</v>
      </c>
      <c r="B22" s="8" t="s">
        <v>10</v>
      </c>
      <c r="C22" s="8" t="s">
        <v>17</v>
      </c>
      <c r="D22" s="8" t="s">
        <v>2</v>
      </c>
      <c r="E22" s="8" t="s">
        <v>18</v>
      </c>
    </row>
    <row r="23" spans="1:5" x14ac:dyDescent="0.25">
      <c r="A23" s="2">
        <v>1</v>
      </c>
      <c r="B23" s="2">
        <v>101</v>
      </c>
      <c r="C23" s="2">
        <v>2</v>
      </c>
      <c r="D23" s="6">
        <f>VLOOKUP(B23,'[1]PRODUCTS(VLookup)'!A1:C7,3,0)</f>
        <v>120</v>
      </c>
      <c r="E23" s="6">
        <f>C23*D23</f>
        <v>240</v>
      </c>
    </row>
    <row r="24" spans="1:5" x14ac:dyDescent="0.25">
      <c r="A24" s="2">
        <v>2</v>
      </c>
      <c r="B24" s="2">
        <v>103</v>
      </c>
      <c r="C24" s="2">
        <v>1</v>
      </c>
      <c r="D24" s="6">
        <f>VLOOKUP(B24,'[1]PRODUCTS(VLookup)'!A2:C8,3,0)</f>
        <v>200</v>
      </c>
      <c r="E24" s="6">
        <f t="shared" ref="E24:E28" si="0">C24*D24</f>
        <v>200</v>
      </c>
    </row>
    <row r="25" spans="1:5" x14ac:dyDescent="0.25">
      <c r="A25" s="2">
        <v>3</v>
      </c>
      <c r="B25" s="2">
        <v>105</v>
      </c>
      <c r="C25" s="2">
        <v>4</v>
      </c>
      <c r="D25" s="6">
        <f>VLOOKUP(B25,'[1]PRODUCTS(VLookup)'!A3:C9,3,0)</f>
        <v>220</v>
      </c>
      <c r="E25" s="6">
        <f t="shared" si="0"/>
        <v>880</v>
      </c>
    </row>
    <row r="26" spans="1:5" x14ac:dyDescent="0.25">
      <c r="A26" s="2">
        <v>4</v>
      </c>
      <c r="B26" s="2">
        <v>106</v>
      </c>
      <c r="C26" s="2">
        <v>3</v>
      </c>
      <c r="D26" s="6">
        <f>VLOOKUP(B26,'[1]PRODUCTS(VLookup)'!A4:C10,3,0)</f>
        <v>130</v>
      </c>
      <c r="E26" s="6">
        <f t="shared" si="0"/>
        <v>390</v>
      </c>
    </row>
    <row r="27" spans="1:5" x14ac:dyDescent="0.25">
      <c r="A27" s="2">
        <v>5</v>
      </c>
      <c r="B27" s="2">
        <v>102</v>
      </c>
      <c r="C27" s="2">
        <v>5</v>
      </c>
      <c r="D27" s="6">
        <f>VLOOKUP(B27,'[1]PRODUCTS(VLookup)'!A1:C7,3,0)</f>
        <v>150</v>
      </c>
      <c r="E27" s="6">
        <f t="shared" si="0"/>
        <v>750</v>
      </c>
    </row>
    <row r="28" spans="1:5" x14ac:dyDescent="0.25">
      <c r="A28" s="2">
        <v>6</v>
      </c>
      <c r="B28" s="2">
        <v>104</v>
      </c>
      <c r="C28" s="2">
        <v>6</v>
      </c>
      <c r="D28" s="6">
        <f>VLOOKUP(B28,'[1]PRODUCTS(VLookup)'!A2:C8,3,0)</f>
        <v>90</v>
      </c>
      <c r="E28" s="6">
        <f t="shared" si="0"/>
        <v>540</v>
      </c>
    </row>
    <row r="30" spans="1:5" x14ac:dyDescent="0.25">
      <c r="A30" s="4" t="s">
        <v>22</v>
      </c>
    </row>
    <row r="32" spans="1:5" x14ac:dyDescent="0.25">
      <c r="A32" s="8" t="s">
        <v>16</v>
      </c>
      <c r="B32" s="8" t="s">
        <v>10</v>
      </c>
      <c r="C32" s="8" t="s">
        <v>17</v>
      </c>
      <c r="D32" s="8" t="s">
        <v>2</v>
      </c>
      <c r="E32" s="8" t="s">
        <v>23</v>
      </c>
    </row>
    <row r="33" spans="1:9" x14ac:dyDescent="0.25">
      <c r="A33" s="2">
        <v>1</v>
      </c>
      <c r="B33" s="2">
        <v>101</v>
      </c>
      <c r="C33" s="2">
        <v>2</v>
      </c>
      <c r="D33" s="6">
        <f>VLOOKUP(B33,'[1]PRODUCTS(VLookup)'!$A$1:$C$7,3,0)</f>
        <v>120</v>
      </c>
      <c r="E33" s="6">
        <f>C33*D33</f>
        <v>240</v>
      </c>
      <c r="G33" s="12" t="s">
        <v>24</v>
      </c>
      <c r="H33" s="12"/>
      <c r="I33" s="10">
        <f>MAX(E33:E38)</f>
        <v>880</v>
      </c>
    </row>
    <row r="34" spans="1:9" x14ac:dyDescent="0.25">
      <c r="A34" s="2">
        <v>2</v>
      </c>
      <c r="B34" s="2">
        <v>103</v>
      </c>
      <c r="C34" s="2">
        <v>1</v>
      </c>
      <c r="D34" s="6">
        <f>VLOOKUP(B34,'[1]PRODUCTS(VLookup)'!$A$1:$C$7,3,0)</f>
        <v>200</v>
      </c>
      <c r="E34" s="6">
        <f t="shared" ref="E34:E38" si="1">C34*D34</f>
        <v>200</v>
      </c>
    </row>
    <row r="35" spans="1:9" x14ac:dyDescent="0.25">
      <c r="A35" s="2">
        <v>3</v>
      </c>
      <c r="B35" s="2">
        <v>105</v>
      </c>
      <c r="C35" s="2">
        <v>4</v>
      </c>
      <c r="D35" s="6">
        <f>VLOOKUP(B35,'[1]PRODUCTS(VLookup)'!$A$1:$C$7,3,0)</f>
        <v>220</v>
      </c>
      <c r="E35" s="6">
        <f t="shared" si="1"/>
        <v>880</v>
      </c>
    </row>
    <row r="36" spans="1:9" x14ac:dyDescent="0.25">
      <c r="A36" s="2">
        <v>4</v>
      </c>
      <c r="B36" s="2">
        <v>106</v>
      </c>
      <c r="C36" s="2">
        <v>3</v>
      </c>
      <c r="D36" s="6">
        <f>VLOOKUP(B36,'[1]PRODUCTS(VLookup)'!$A$1:$C$7,3,0)</f>
        <v>130</v>
      </c>
      <c r="E36" s="6">
        <f t="shared" si="1"/>
        <v>390</v>
      </c>
    </row>
    <row r="37" spans="1:9" x14ac:dyDescent="0.25">
      <c r="A37" s="2">
        <v>5</v>
      </c>
      <c r="B37" s="2">
        <v>102</v>
      </c>
      <c r="C37" s="2">
        <v>5</v>
      </c>
      <c r="D37" s="6">
        <f>VLOOKUP(B37,'[1]PRODUCTS(VLookup)'!$A$1:$C$7,3,0)</f>
        <v>150</v>
      </c>
      <c r="E37" s="6">
        <f t="shared" si="1"/>
        <v>750</v>
      </c>
    </row>
    <row r="38" spans="1:9" x14ac:dyDescent="0.25">
      <c r="A38" s="2">
        <v>6</v>
      </c>
      <c r="B38" s="2">
        <v>104</v>
      </c>
      <c r="C38" s="2">
        <v>6</v>
      </c>
      <c r="D38" s="6">
        <f>VLOOKUP(B38,'[1]PRODUCTS(VLookup)'!$A$1:$C$7,3,0)</f>
        <v>90</v>
      </c>
      <c r="E38" s="6">
        <f t="shared" si="1"/>
        <v>540</v>
      </c>
    </row>
    <row r="40" spans="1:9" x14ac:dyDescent="0.25">
      <c r="A40" s="4" t="s">
        <v>25</v>
      </c>
    </row>
    <row r="42" spans="1:9" x14ac:dyDescent="0.25">
      <c r="A42" s="8" t="s">
        <v>10</v>
      </c>
      <c r="B42" s="9" t="s">
        <v>26</v>
      </c>
    </row>
    <row r="43" spans="1:9" x14ac:dyDescent="0.25">
      <c r="A43" s="2">
        <v>101</v>
      </c>
      <c r="B43" s="6" t="str">
        <f>IF(ISNA(VLOOKUP(A43,'[1]PRODUCTS(VLookup)'!$A$1:$C$7,1,0)),"NOT ORDERED","ORDERED")</f>
        <v>ORDERED</v>
      </c>
    </row>
    <row r="44" spans="1:9" x14ac:dyDescent="0.25">
      <c r="A44" s="2">
        <v>103</v>
      </c>
      <c r="B44" s="6" t="str">
        <f>IF(ISNA(VLOOKUP(A44,'[1]PRODUCTS(VLookup)'!$A$1:$C$7,1,0)),"NOT ORDERED","ORDERED")</f>
        <v>ORDERED</v>
      </c>
    </row>
    <row r="45" spans="1:9" x14ac:dyDescent="0.25">
      <c r="A45" s="2">
        <v>105</v>
      </c>
      <c r="B45" s="6" t="str">
        <f>IF(ISNA(VLOOKUP(A45,'[1]PRODUCTS(VLookup)'!$A$1:$C$7,1,0)),"NOT ORDERED","ORDERED")</f>
        <v>ORDERED</v>
      </c>
    </row>
    <row r="46" spans="1:9" x14ac:dyDescent="0.25">
      <c r="A46" s="2">
        <v>106</v>
      </c>
      <c r="B46" s="6" t="str">
        <f>IF(ISNA(VLOOKUP(A46,'[1]PRODUCTS(VLookup)'!$A$1:$C$7,1,0)),"NOT ORDERED","ORDERED")</f>
        <v>ORDERED</v>
      </c>
    </row>
    <row r="47" spans="1:9" x14ac:dyDescent="0.25">
      <c r="A47" s="2">
        <v>102</v>
      </c>
      <c r="B47" s="6" t="str">
        <f>IF(ISNA(VLOOKUP(A47,'[1]PRODUCTS(VLookup)'!$A$1:$C$7,1,0)),"NOT ORDERED","ORDERED")</f>
        <v>ORDERED</v>
      </c>
    </row>
    <row r="48" spans="1:9" x14ac:dyDescent="0.25">
      <c r="A48" s="2">
        <v>104</v>
      </c>
      <c r="B48" s="6" t="str">
        <f>IF(ISNA(VLOOKUP(A48,'[1]PRODUCTS(VLookup)'!$A$1:$C$7,1,0)),"NOT ORDERED","ORDERED")</f>
        <v>ORDERED</v>
      </c>
    </row>
    <row r="49" spans="1:3" x14ac:dyDescent="0.25">
      <c r="A49" s="2">
        <v>107</v>
      </c>
      <c r="B49" s="6" t="str">
        <f>IF(ISNA(VLOOKUP(A49,'[1]PRODUCTS(VLookup)'!$A$1:$C$7,1,0)),"NOT ORDERED","ORDERED")</f>
        <v>NOT ORDERED</v>
      </c>
    </row>
    <row r="51" spans="1:3" x14ac:dyDescent="0.25">
      <c r="A51" s="4" t="s">
        <v>27</v>
      </c>
    </row>
    <row r="53" spans="1:3" x14ac:dyDescent="0.25">
      <c r="A53" s="8" t="s">
        <v>10</v>
      </c>
      <c r="B53" s="8" t="s">
        <v>28</v>
      </c>
      <c r="C53" s="8" t="s">
        <v>29</v>
      </c>
    </row>
    <row r="54" spans="1:3" x14ac:dyDescent="0.25">
      <c r="A54" s="2">
        <v>101</v>
      </c>
      <c r="B54" s="6" t="str">
        <f>VLOOKUP(B3,'[1]PRODUCTS(VLookup)'!$A$1:$C$7,2,0)</f>
        <v>Product A</v>
      </c>
      <c r="C54" s="6">
        <f>SUMIF(B54:B59,$B54,C33:C38)</f>
        <v>2</v>
      </c>
    </row>
    <row r="55" spans="1:3" x14ac:dyDescent="0.25">
      <c r="A55" s="2">
        <v>103</v>
      </c>
      <c r="B55" s="6" t="str">
        <f>VLOOKUP(B4,'[1]PRODUCTS(VLookup)'!$A$1:$C$7,2,0)</f>
        <v>Product C</v>
      </c>
      <c r="C55" s="6">
        <f t="shared" ref="C55:C59" si="2">SUMIF(B55:B60,$B55,C34:C39)</f>
        <v>1</v>
      </c>
    </row>
    <row r="56" spans="1:3" x14ac:dyDescent="0.25">
      <c r="A56" s="2">
        <v>105</v>
      </c>
      <c r="B56" s="6" t="str">
        <f>VLOOKUP(B5,'[1]PRODUCTS(VLookup)'!$A$1:$C$7,2,0)</f>
        <v>Product E</v>
      </c>
      <c r="C56" s="6">
        <f t="shared" si="2"/>
        <v>4</v>
      </c>
    </row>
    <row r="57" spans="1:3" x14ac:dyDescent="0.25">
      <c r="A57" s="2">
        <v>106</v>
      </c>
      <c r="B57" s="6" t="str">
        <f>VLOOKUP(B6,'[1]PRODUCTS(VLookup)'!$A$1:$C$7,2,0)</f>
        <v>Product F</v>
      </c>
      <c r="C57" s="6">
        <f t="shared" si="2"/>
        <v>3</v>
      </c>
    </row>
    <row r="58" spans="1:3" x14ac:dyDescent="0.25">
      <c r="A58" s="2">
        <v>102</v>
      </c>
      <c r="B58" s="6" t="str">
        <f>VLOOKUP(B7,'[1]PRODUCTS(VLookup)'!$A$1:$C$7,2,0)</f>
        <v>Product B</v>
      </c>
      <c r="C58" s="6">
        <f t="shared" si="2"/>
        <v>5</v>
      </c>
    </row>
    <row r="59" spans="1:3" x14ac:dyDescent="0.25">
      <c r="A59" s="2">
        <v>104</v>
      </c>
      <c r="B59" s="6" t="str">
        <f>VLOOKUP(B8,'[1]PRODUCTS(VLookup)'!$A$1:$C$7,2,0)</f>
        <v>Product D</v>
      </c>
      <c r="C59" s="6">
        <f t="shared" si="2"/>
        <v>6</v>
      </c>
    </row>
  </sheetData>
  <mergeCells count="1">
    <mergeCell ref="G33:H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𝘼 𝙨 𝙝 𝙞 𝙦 𝙪 𝙚</dc:creator>
  <cp:lastModifiedBy>𝘼 𝙨 𝙝 𝙞 𝙦 𝙪 𝙚</cp:lastModifiedBy>
  <dcterms:created xsi:type="dcterms:W3CDTF">2026-03-09T06:25:46Z</dcterms:created>
  <dcterms:modified xsi:type="dcterms:W3CDTF">2026-03-10T17:35:29Z</dcterms:modified>
</cp:coreProperties>
</file>